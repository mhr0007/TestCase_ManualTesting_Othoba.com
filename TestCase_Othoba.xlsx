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C:\Users\MHR\Desktop\TestCase_ManualTesting_Othoba.com\"/>
    </mc:Choice>
  </mc:AlternateContent>
  <xr:revisionPtr revIDLastSave="0" documentId="13_ncr:1_{872DB20B-493C-4473-A329-BA335686E132}" xr6:coauthVersionLast="47" xr6:coauthVersionMax="47" xr10:uidLastSave="{00000000-0000-0000-0000-000000000000}"/>
  <bookViews>
    <workbookView xWindow="-120" yWindow="-120" windowWidth="29040" windowHeight="16440" activeTab="2" xr2:uid="{00000000-000D-0000-FFFF-FFFF00000000}"/>
  </bookViews>
  <sheets>
    <sheet name="Test Plan" sheetId="2" r:id="rId1"/>
    <sheet name="Test Case" sheetId="1" r:id="rId2"/>
    <sheet name="Bug Report" sheetId="7" r:id="rId3"/>
    <sheet name="Report" sheetId="3" r:id="rId4"/>
    <sheet name="Test Metric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5" l="1"/>
  <c r="J6" i="5"/>
  <c r="J5" i="5"/>
  <c r="J4" i="5"/>
  <c r="H11" i="3"/>
  <c r="G11" i="3"/>
  <c r="F11" i="3"/>
  <c r="E11" i="3"/>
  <c r="D11" i="3"/>
  <c r="K5" i="1"/>
  <c r="K4" i="1"/>
  <c r="K3" i="1"/>
  <c r="K2" i="1"/>
  <c r="J8" i="5" l="1"/>
  <c r="K6" i="1"/>
</calcChain>
</file>

<file path=xl/sharedStrings.xml><?xml version="1.0" encoding="utf-8"?>
<sst xmlns="http://schemas.openxmlformats.org/spreadsheetml/2006/main" count="510" uniqueCount="338">
  <si>
    <t>Test Plan Document</t>
  </si>
  <si>
    <t>Test Plan Identifier</t>
  </si>
  <si>
    <t>Web application project 01 - Othoba.com.</t>
  </si>
  <si>
    <t xml:space="preserve">Refrence </t>
  </si>
  <si>
    <t>I created this test plan without client's BRS/SRS requirements. Therefore not need for any refrence documents.</t>
  </si>
  <si>
    <t>Introduction</t>
  </si>
  <si>
    <t>Othoba is a Ecommerce platform which is very fast growing multivendor marketpalce with thousands of products.</t>
  </si>
  <si>
    <t>Test Item</t>
  </si>
  <si>
    <t>I will test the Othoba web application on Chrome browser on Windows 11.</t>
  </si>
  <si>
    <t>Features to be Tested</t>
  </si>
  <si>
    <t>I will test only sign up and sign in features.</t>
  </si>
  <si>
    <t>Features Not to be Tested</t>
  </si>
  <si>
    <t>Nothing will be tested other than sign-up and sign-in features.</t>
  </si>
  <si>
    <t>Testing Approach</t>
  </si>
  <si>
    <t>Testing approach is Black-Box testing and type of testing is Fucntional testing.</t>
  </si>
  <si>
    <t>Entry Criteria</t>
  </si>
  <si>
    <t>This is a live application. Therefore, when I see these sign-up and sign-in features I will start testing.</t>
  </si>
  <si>
    <t>Exit Criteria</t>
  </si>
  <si>
    <t>After all functionality testing , I will stop further testing.</t>
  </si>
  <si>
    <t>Suspension Criteria</t>
  </si>
  <si>
    <t>When I am not able to sign up with any valid BD phone number, I will stop all types of testing procedures.</t>
  </si>
  <si>
    <t>Roles and Responsibilities</t>
  </si>
  <si>
    <t>My role in this project is SQA Engineer and my responsibility is to test sign-up and sign-in features.</t>
  </si>
  <si>
    <t>Schedule</t>
  </si>
  <si>
    <t>The testing procedure will be completed within 2 days.</t>
  </si>
  <si>
    <t>Training</t>
  </si>
  <si>
    <t>No need for any prior training.</t>
  </si>
  <si>
    <t>Test Environment</t>
  </si>
  <si>
    <t>Need to install Chrome browser in Windows 11.</t>
  </si>
  <si>
    <t>Test Deliverables</t>
  </si>
  <si>
    <t>After test completion I will provide test plan,mind map,test cases,test report, bug report also test Metrics.</t>
  </si>
  <si>
    <t>Risk</t>
  </si>
  <si>
    <t>No risk at this moment.</t>
  </si>
  <si>
    <t>Approvals</t>
  </si>
  <si>
    <t>After completing the test, I will try to review my testing work by an expert QA engineer.</t>
  </si>
  <si>
    <t>Product Name</t>
  </si>
  <si>
    <t>Othoba.com</t>
  </si>
  <si>
    <t>TC Start Date</t>
  </si>
  <si>
    <t>TC Execution Start Date</t>
  </si>
  <si>
    <t>Module Name</t>
  </si>
  <si>
    <t>Sign Up and Sign In</t>
  </si>
  <si>
    <t>TC End Date</t>
  </si>
  <si>
    <t>TC Execution End Date</t>
  </si>
  <si>
    <t>Epic</t>
  </si>
  <si>
    <t>Test Case Developed By</t>
  </si>
  <si>
    <t>Browser (tested)</t>
  </si>
  <si>
    <t>Yes</t>
  </si>
  <si>
    <t>Test Case Reviewed By</t>
  </si>
  <si>
    <t>Performance (tested)</t>
  </si>
  <si>
    <t>No</t>
  </si>
  <si>
    <t>Test Executed by</t>
  </si>
  <si>
    <t>Mehedi Hasan</t>
  </si>
  <si>
    <t>TEST CASE</t>
  </si>
  <si>
    <t>PASS</t>
  </si>
  <si>
    <t>FAIL</t>
  </si>
  <si>
    <t>Not Executed</t>
  </si>
  <si>
    <t>Out of Scope</t>
  </si>
  <si>
    <t>TOTAL</t>
  </si>
  <si>
    <t>Developer Name</t>
  </si>
  <si>
    <t>#SL</t>
  </si>
  <si>
    <t>Module</t>
  </si>
  <si>
    <t>Type of Testing</t>
  </si>
  <si>
    <t>Features</t>
  </si>
  <si>
    <t>Test Cases</t>
  </si>
  <si>
    <t>Exepected  Result</t>
  </si>
  <si>
    <t>Actual Result</t>
  </si>
  <si>
    <t>Test Data</t>
  </si>
  <si>
    <t>Reproducing
Steps</t>
  </si>
  <si>
    <t xml:space="preserve">Bug Screen Shot </t>
  </si>
  <si>
    <t>Dev Comments</t>
  </si>
  <si>
    <t>Final Status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</si>
  <si>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</si>
  <si>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</si>
  <si>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</si>
  <si>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</si>
  <si>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</si>
  <si>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</si>
  <si>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</si>
  <si>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UI Testing</t>
  </si>
  <si>
    <t>Sign Up</t>
  </si>
  <si>
    <t>Checking spelling or grammatical mistakes</t>
  </si>
  <si>
    <t>No spelling or grammatical mistakes</t>
  </si>
  <si>
    <t>N/A</t>
  </si>
  <si>
    <t>1. Goto the URL
https://www.othoba.com/
2. Click on Register button at the right corner
3. Check the spelling and grammar of the website</t>
  </si>
  <si>
    <t xml:space="preserve">Verifying the font, text color and style </t>
  </si>
  <si>
    <t>Should be as per the requirement</t>
  </si>
  <si>
    <t>1. Goto the URL
https://www.othoba.com/
2. Click on Register button at the right corner
3. Check the font, text color and style</t>
  </si>
  <si>
    <t>Checking by hovering over the fields</t>
  </si>
  <si>
    <t>A text should appear over the fields</t>
  </si>
  <si>
    <t>1. Goto the URL
https://www.othoba.com/
2. Hover over every fields</t>
  </si>
  <si>
    <t>Checking alignment of the fields</t>
  </si>
  <si>
    <t>Proper alignment of the fields should be present</t>
  </si>
  <si>
    <t>1. Goto the URL
https://www.othoba.com/
2. Click on Register button at the right corner
3. Check alignment of the fields</t>
  </si>
  <si>
    <t>Checkbox above password 'Newsletter'</t>
  </si>
  <si>
    <t>Checkbox should be present</t>
  </si>
  <si>
    <t>1. Goto the URL
https://www.othoba.com/
2. Check checkbox above password 'Newsletter'</t>
  </si>
  <si>
    <t>Checking if the 'Register' button exist at the bottom of the form.</t>
  </si>
  <si>
    <t>Register button should be present</t>
  </si>
  <si>
    <t>1. Goto the URL
https://www.othoba.com/
2. Check if the Register button exist</t>
  </si>
  <si>
    <t xml:space="preserve">Checkbox beside 'Remember Me' </t>
  </si>
  <si>
    <t>Not found as per expectation</t>
  </si>
  <si>
    <t>Failed</t>
  </si>
  <si>
    <t>Checking 'Remember Me' checkbox is not enabled by default</t>
  </si>
  <si>
    <t>Should not be enabled by default</t>
  </si>
  <si>
    <t>1. Goto the URL
https://www.othoba.com/
2. Click on Register button at the right corner
3. Check 'Remember Me' checkbox</t>
  </si>
  <si>
    <t>Functional Testing</t>
  </si>
  <si>
    <t>Try to register while keeping tha mandatory fields blank</t>
  </si>
  <si>
    <t>Should not register an acount</t>
  </si>
  <si>
    <t>1. Go to https://www.othoba.com/
2. Click on register at top right corner.
3. Click on Register at the botom of the form</t>
  </si>
  <si>
    <t>Registering with an invalid phone number</t>
  </si>
  <si>
    <t>1. Go to https://www.othoba.com/
2. Click on register at top right corner.
3. Input 25212169482 in phone number field.
4. Fill up other fields</t>
  </si>
  <si>
    <t>Checking if first name and last name is case sensetive</t>
  </si>
  <si>
    <t>Should accept the given input</t>
  </si>
  <si>
    <t>Cheking if number values can be added to name string</t>
  </si>
  <si>
    <t xml:space="preserve">Should not accept the given input </t>
  </si>
  <si>
    <t>1. Go to https://www.othoba.com/
2. Click on register at top right corner.
3. Input firsname and last name as  kkk222KF fkdk
4. Fill up other fields</t>
  </si>
  <si>
    <t>Putting space at the beginning of first and last name</t>
  </si>
  <si>
    <t>1. Go to https://www.othoba.com/
2. Click on register at top right corner.
3. Input firsname and last name as     fdsfsdf      fdfsf while giving blank space at the beginning
4. Fill up other fields</t>
  </si>
  <si>
    <t xml:space="preserve">Put spacial character at the middle of the alphabets </t>
  </si>
  <si>
    <t>Leave one of the name field empty</t>
  </si>
  <si>
    <t xml:space="preserve">Should give a warning to provide the missing value </t>
  </si>
  <si>
    <t>1. Go to https://www.othoba.com/
2. Click on register at top right corner.
3. Leave confirm password field empty
4. Fill up other fields</t>
  </si>
  <si>
    <t xml:space="preserve">Try to register while not selecting the gender </t>
  </si>
  <si>
    <t>1. Go to https://www.othoba.com/
2. Click on register at top right corner.
3. Leave the gender selection empty
4. Fill up other fields</t>
  </si>
  <si>
    <t xml:space="preserve">Leave country, division or shipping area unselected </t>
  </si>
  <si>
    <t>1. Go to https://www.othoba.com/
2. Click on register at top right corner.
3. Leave country, division or shipping empty
4. Fill up other fields</t>
  </si>
  <si>
    <t xml:space="preserve">Leave the area field empty </t>
  </si>
  <si>
    <t>1. Go to https://www.othoba.com/
2. Click on register at top right corner.
3. Leave area field  empty
4. Fill up other fields</t>
  </si>
  <si>
    <t>Check if newsettler is selected by default</t>
  </si>
  <si>
    <t>Should be selected by default</t>
  </si>
  <si>
    <t>1. Go to https://www.othoba.com/
2. Click on register at top right corner.
3. Check the newsettler option
4. Fill up other fields</t>
  </si>
  <si>
    <t xml:space="preserve">Should register the account </t>
  </si>
  <si>
    <t xml:space="preserve">Check if same email can be used twice </t>
  </si>
  <si>
    <t>Should not accept the same email twice</t>
  </si>
  <si>
    <t xml:space="preserve">Try to use an email address with invalid domain name </t>
  </si>
  <si>
    <t xml:space="preserve">Try to use and email addres with invalid format </t>
  </si>
  <si>
    <t>found as per expectation</t>
  </si>
  <si>
    <t>Check if the password which is less thand 6 character can be 
registered</t>
  </si>
  <si>
    <t>ttr</t>
  </si>
  <si>
    <t>1. Go to https://www.othoba.com/
2. Click on register at top right corner.
3. put the password "ttr"
4. Fill up other fields</t>
  </si>
  <si>
    <t>Check if password with atleast 6 digit can be registered</t>
  </si>
  <si>
    <t>123qwe</t>
  </si>
  <si>
    <t>1. Go to https://www.othoba.com/
2. Click on register at top right corner.
3. put the password 123qwe
4. Fill up other fields</t>
  </si>
  <si>
    <t>Check if password with combinitation of special character numbers and string is accepted</t>
  </si>
  <si>
    <t>asm22$%&amp;</t>
  </si>
  <si>
    <t>1. Go to https://www.othoba.com/
2. Click on register at top right corner.
3. put the password asm22$%&amp;
4. Fill up other fields</t>
  </si>
  <si>
    <t>Putting different password in the confirm password field</t>
  </si>
  <si>
    <t>Should give a warning to provide same password</t>
  </si>
  <si>
    <t>qweqwee ,
 dfsdfsdf</t>
  </si>
  <si>
    <t>1. Go to https://www.othoba.com/
2. Click on register at top right corner.
3. put the password qweqwee ,
 dfsdfsdf in password and confirm password box respectively
4. Fill up other fields</t>
  </si>
  <si>
    <t>Check for OTP send on the phone number which is used for registration</t>
  </si>
  <si>
    <t>Should receive an OTP on the phone</t>
  </si>
  <si>
    <t>1. Go to https://www.othoba.com/
2. Click on register at top right corner.
3. Fill up all the fields.
4. Click register button</t>
  </si>
  <si>
    <t>Try to complete regestration with wrong OPT</t>
  </si>
  <si>
    <t>Warning showing wrong OPT</t>
  </si>
  <si>
    <t xml:space="preserve">1. Go to https://www.othoba.com/
2. Click on register at top right corner.
3. Fill up all the fields.
4. Click register button
5. Enter wrong OTP </t>
  </si>
  <si>
    <t>Try to complete regestration with Correct OPT</t>
  </si>
  <si>
    <t>Take the user to dash bord</t>
  </si>
  <si>
    <t>OTP</t>
  </si>
  <si>
    <t xml:space="preserve">1. Go to https://www.othoba.com/
2. Click on register at top right corner.
3. Fill up all the fields.
4. Click register button
5. Enter correct OTP </t>
  </si>
  <si>
    <t>Usability Testing</t>
  </si>
  <si>
    <t>Checking copy paste functionality in every field</t>
  </si>
  <si>
    <t>Should copy and paste text from fields</t>
  </si>
  <si>
    <t>Should work properly</t>
  </si>
  <si>
    <t>1. Goto the URL
https://www.othoba.com/
2. Click on Register button at the right corner
3. Copy paste text in every field</t>
  </si>
  <si>
    <t>Checking keyboard tab button functionality</t>
  </si>
  <si>
    <t>Should switch to another field and highlight text</t>
  </si>
  <si>
    <t>Enter tab in every field</t>
  </si>
  <si>
    <t>1. Goto the URL
https://www.othoba.com/
2. Click on Register button at the right corner
3. Enter tab in every field</t>
  </si>
  <si>
    <t>Checking keyboard enter button functionality</t>
  </si>
  <si>
    <t xml:space="preserve">Should switch to another field </t>
  </si>
  <si>
    <t>Input Enter in every field</t>
  </si>
  <si>
    <t>1. Goto the URL
https://www.othoba.com/
2. Click on Register button at the right corner
3. Enter enter in every field</t>
  </si>
  <si>
    <t>Functionality Testing</t>
  </si>
  <si>
    <t>Sign In</t>
  </si>
  <si>
    <t>Keeping email and password field blank</t>
  </si>
  <si>
    <t>Should not allow user to login and display an error messeage</t>
  </si>
  <si>
    <t>1. Goto the URL
https://www.othoba.com/
2. Click on login button at the right corner
3. Keep both the fields blank</t>
  </si>
  <si>
    <t>Checking if the data in password is masked</t>
  </si>
  <si>
    <t>Should be masked</t>
  </si>
  <si>
    <t>ffvfdf%%$ee2</t>
  </si>
  <si>
    <t>1. Goto the URL
https://www.othoba.com/
2. Click on login button at the right corner
3. Input values in password field and check if it is masked</t>
  </si>
  <si>
    <t>Login with wrong credentials in email and password field</t>
  </si>
  <si>
    <t>Email: abcf@gmail.com
Password: ffvfdf%%$ee2</t>
  </si>
  <si>
    <t>1. Goto the URL
https://www.othoba.com/
2. Click on login button at the right corner
3. Input invalid credentials in email and password field</t>
  </si>
  <si>
    <t>Checking login valid credentials in email and password field</t>
  </si>
  <si>
    <t>Should allow user to register</t>
  </si>
  <si>
    <t>Email: hasanabbas@gmail.com
Password: llduuuM#3</t>
  </si>
  <si>
    <t>1. Goto the URL
https://www.othoba.com/
2. Click on login button at the right corner
3. Input valid credentials in email and password field</t>
  </si>
  <si>
    <t>Verifying ‘Forgot Password’ functionality</t>
  </si>
  <si>
    <t>Should sent an email for password recovery</t>
  </si>
  <si>
    <t>1.  Goto the URL
https://www.othoba.com/
2. Click on login button at the right corner
3.Click on 'Forgot Password'
4. Check email</t>
  </si>
  <si>
    <t>Clicking ‘Forgot Password’ multiple times</t>
  </si>
  <si>
    <t>Account should be temporarily restricted 
and a message should be displayed</t>
  </si>
  <si>
    <t>Found as per expectation with a message</t>
  </si>
  <si>
    <t xml:space="preserve">1. Goto the URL
https://www.othoba.com/
2. Click on login button at the right corner
3.Click on 'Forgot Password' multiple times
</t>
  </si>
  <si>
    <t>Verifying change the password link is sent to valid email 
address</t>
  </si>
  <si>
    <t>Should be sent to valid email address</t>
  </si>
  <si>
    <t>1. Goto the URL
https://www.othoba.com/
2. Click on login button at the right corner
3.Click on 'Forgot Password' 
4. Check the registered email</t>
  </si>
  <si>
    <t>Verifying the functionality of 'Set a New Password'</t>
  </si>
  <si>
    <t>Should provide a new input for setting new password</t>
  </si>
  <si>
    <t>1. Goto the URL
https://www.othoba.com/
2. Click on login button at the right corner
3.Click on 'Forgot Password' 
4. Check the registered email
5. Click on 'Set up a New Password'</t>
  </si>
  <si>
    <t>Enabling the 'Show Password' checkbox of 'Set a New Password'</t>
  </si>
  <si>
    <t>Password should be dispayed</t>
  </si>
  <si>
    <t>1. Goto the URL
https://www.othoba.com/
2. Click on login button at the right corner
3.Click on 'Forgot Password' 
4. Check the registered email
5. Click on 'Set up a New Password'
6. Enable 'Show Password' checkbox</t>
  </si>
  <si>
    <t>Verifying inputing old password on 'Set a New Password'</t>
  </si>
  <si>
    <t>Should not allow user to login and display an error message</t>
  </si>
  <si>
    <t>Found as per expectation with an error message</t>
  </si>
  <si>
    <t>1. Goto the URL
https://www.othoba.com/
2. Click on login button at the right corner
3.Click on 'Forgot Password' 
4. Check the registered email
5. Click on 'Set up a New Password'
6. Enter old password</t>
  </si>
  <si>
    <t>Verifying login with the newly changed password</t>
  </si>
  <si>
    <t>Should allow user to login</t>
  </si>
  <si>
    <t>1. Goto the URL
https://www.othoba.com/
2. Click on login button at the right corner
3.Click on 'Forgot Password' 
4. Check the registered email
5. Click on 'Set up a New Password'
6. Enter new password
7. Click on login</t>
  </si>
  <si>
    <t>Checking if the link gets dissolved setting a new password</t>
  </si>
  <si>
    <t>Link should get dissolved</t>
  </si>
  <si>
    <t>1. Goto the URL
https://www.othoba.com/
2. Click on login button at the right corner
3.Click on 'Forgot Password' 
4. Check the registered email
5. Click on 'Set up a New Password'
6. Enter new password
7. Click on 'Create New password'</t>
  </si>
  <si>
    <t xml:space="preserve">
</t>
  </si>
  <si>
    <t>User  Management</t>
  </si>
  <si>
    <t>Home page</t>
  </si>
  <si>
    <t>Try to register while keeping the confirm password field blank</t>
  </si>
  <si>
    <t>Test Case Report</t>
  </si>
  <si>
    <t xml:space="preserve">   Project Name   </t>
  </si>
  <si>
    <t xml:space="preserve">Module Name   </t>
  </si>
  <si>
    <t>Test Case Version</t>
  </si>
  <si>
    <t>Written By</t>
  </si>
  <si>
    <t>Executed By</t>
  </si>
  <si>
    <t>Reviewed By</t>
  </si>
  <si>
    <t>TEST EXECUTION REPORT</t>
  </si>
  <si>
    <t>Test Case</t>
  </si>
  <si>
    <t>Out Of Scope</t>
  </si>
  <si>
    <t>Total TC</t>
  </si>
  <si>
    <t>LIMITATIONS</t>
  </si>
  <si>
    <t>Documents</t>
  </si>
  <si>
    <t xml:space="preserve">Received </t>
  </si>
  <si>
    <t>Useful</t>
  </si>
  <si>
    <t>PRD</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</si>
  <si>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</si>
  <si>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</si>
  <si>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</si>
  <si>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</si>
  <si>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</si>
  <si>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</si>
  <si>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</si>
  <si>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</si>
  <si>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</si>
  <si>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</si>
  <si>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</si>
  <si>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</si>
  <si>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</si>
  <si>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</si>
  <si>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</si>
  <si>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</si>
  <si>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1. Goto the URL
https://www.othoba.com/
 2. Click on Register button at the right corner
3. Look for remember me checkbox under password field</t>
  </si>
  <si>
    <t>Verifying mandatory field is marked with asterisk</t>
  </si>
  <si>
    <t>Asterisk should be present</t>
  </si>
  <si>
    <t>1. Goto the URL
https://www.othoba.com/
2. Check asterisk beside mandatory field</t>
  </si>
  <si>
    <t>M3h3ei Hasa9</t>
  </si>
  <si>
    <t xml:space="preserve">    Mehedi
      Hasan
</t>
  </si>
  <si>
    <t>M(h(di H@s@n</t>
  </si>
  <si>
    <t>Mehedi</t>
  </si>
  <si>
    <t>1. Go to https://www.othoba.com/
2. Click on register at top right corner.
3. Input firsname as     Mehedi   and put the last name field empty
4. Fill up other fields</t>
  </si>
  <si>
    <t>1. Go to https://www.othoba.com/
2. Click on register at top right corner.
3. Input firsname and last name as     M(h(di H@s@n
4. Fill up other fields</t>
  </si>
  <si>
    <t>1. Go to https://www.othoba.com/
2. Click on register at top right corner.
3. Input firsname and last name as     Mehedi       Hasan while giving blank space at the beginning
4. Fill up other fields</t>
  </si>
  <si>
    <t>1. Go to https://www.othoba.com/
2. Click on register at top right corner.
3. Input firsname and last name as  M3h3ei Hasa9
4. Fill up other fields</t>
  </si>
  <si>
    <t>MeheDi HaSan</t>
  </si>
  <si>
    <t>1. Go to https://www.othoba.com/
2. Click on register at top right corner.
3. Input firsname and last name as  MeheDi HaSan.
4. Fill up other fields</t>
  </si>
  <si>
    <t xml:space="preserve">Registering with a valid email adress </t>
  </si>
  <si>
    <t>mehedihasan@gmail.com</t>
  </si>
  <si>
    <t>1. Go to https://www.othoba.com/
2. Click on register at top right corner.
3. use the email mehedihasan@gmail.com
4. Fill up other fields</t>
  </si>
  <si>
    <t>1. Go to https://www.othoba.com/
2. Click on register at top right corner.
3. use a previousley used email mehedihasan@gmail.com
4. Fill up other fields</t>
  </si>
  <si>
    <t>mehedi@dfdf.com</t>
  </si>
  <si>
    <t>1. Go to https://www.othoba.com/
2. Click on register at top right corner.
3. use a the email mehedi@dfdf.com
4. Fill up other fields</t>
  </si>
  <si>
    <t>gmail@mehedi.com</t>
  </si>
  <si>
    <t>1. Go to https://www.othoba.com/
2. Click on register at top right corner.
3. use a the email gmail@mehedi.com
4. Fill up other fields</t>
  </si>
  <si>
    <t>Phone Number</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</si>
  <si>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</si>
  <si>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</si>
  <si>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</si>
  <si>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</si>
  <si>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</si>
  <si>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</si>
  <si>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</si>
  <si>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</si>
  <si>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</si>
  <si>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</si>
  <si>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</si>
  <si>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</si>
  <si>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</si>
  <si>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(0/48)*100 = 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</si>
  <si>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</si>
  <si>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</si>
  <si>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</si>
  <si>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</si>
  <si>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</si>
  <si>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</si>
  <si>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</si>
  <si>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</si>
  <si>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</si>
  <si>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</si>
  <si>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</si>
  <si>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</si>
  <si>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Sum</t>
  </si>
  <si>
    <t>Average</t>
  </si>
  <si>
    <t>Running Total</t>
  </si>
  <si>
    <t>Count</t>
  </si>
  <si>
    <t>(48/48)*100 = 100</t>
  </si>
  <si>
    <t>(0/48)*100 = 00</t>
  </si>
  <si>
    <t>(45/48)*100 = 93.75</t>
  </si>
  <si>
    <t>(3/48)*100 = 6.25</t>
  </si>
  <si>
    <t>TP_01</t>
  </si>
  <si>
    <t>TP_11</t>
  </si>
  <si>
    <t>TP_02</t>
  </si>
  <si>
    <t>TP_03</t>
  </si>
  <si>
    <t>TP_04</t>
  </si>
  <si>
    <t>TP_05</t>
  </si>
  <si>
    <t>TP_06</t>
  </si>
  <si>
    <t>TP_07</t>
  </si>
  <si>
    <t>TP_08</t>
  </si>
  <si>
    <t>TP_09</t>
  </si>
  <si>
    <t>TP_10</t>
  </si>
  <si>
    <t>TP_12</t>
  </si>
  <si>
    <t>TP_13</t>
  </si>
  <si>
    <t>TP_14</t>
  </si>
  <si>
    <t>TP_15</t>
  </si>
  <si>
    <t>TP_16</t>
  </si>
  <si>
    <t>TP_17</t>
  </si>
  <si>
    <t>Bug Reporting</t>
  </si>
  <si>
    <t># SL 14</t>
  </si>
  <si>
    <t># SL 15</t>
  </si>
  <si>
    <t>Reproducing Steps:</t>
  </si>
  <si>
    <t>Screenshot: Number value in name field</t>
  </si>
  <si>
    <t>Screenshot: Space before name string</t>
  </si>
  <si>
    <r>
      <t>Env:</t>
    </r>
    <r>
      <rPr>
        <sz val="11"/>
        <color rgb="FF000000"/>
        <rFont val="Calibri"/>
        <family val="2"/>
      </rPr>
      <t xml:space="preserve"> Production</t>
    </r>
  </si>
  <si>
    <r>
      <t xml:space="preserve">Module: </t>
    </r>
    <r>
      <rPr>
        <sz val="11"/>
        <color rgb="FF000000"/>
        <rFont val="Calibri"/>
        <family val="2"/>
      </rPr>
      <t>Sign Up</t>
    </r>
  </si>
  <si>
    <r>
      <t>Severity:</t>
    </r>
    <r>
      <rPr>
        <sz val="11"/>
        <color rgb="FF000000"/>
        <rFont val="Calibri"/>
        <family val="2"/>
      </rPr>
      <t xml:space="preserve"> P1</t>
    </r>
  </si>
  <si>
    <t>`</t>
  </si>
  <si>
    <r>
      <rPr>
        <b/>
        <sz val="11"/>
        <color theme="1"/>
        <rFont val="Calibri"/>
        <family val="2"/>
        <scheme val="minor"/>
      </rPr>
      <t>Issue:</t>
    </r>
    <r>
      <rPr>
        <sz val="11"/>
        <color theme="1"/>
        <rFont val="Calibri"/>
        <family val="2"/>
        <scheme val="minor"/>
      </rPr>
      <t xml:space="preserve">  Number value can be entered in the name field</t>
    </r>
  </si>
  <si>
    <r>
      <rPr>
        <b/>
        <sz val="11"/>
        <color theme="1"/>
        <rFont val="Calibri"/>
        <family val="2"/>
        <scheme val="minor"/>
      </rPr>
      <t>Issue:</t>
    </r>
    <r>
      <rPr>
        <sz val="11"/>
        <color theme="1"/>
        <rFont val="Calibri"/>
        <family val="2"/>
        <scheme val="minor"/>
      </rPr>
      <t xml:space="preserve">  Accepts space at the beginning of first and last name</t>
    </r>
  </si>
  <si>
    <r>
      <t>Responsible QA:</t>
    </r>
    <r>
      <rPr>
        <sz val="10"/>
        <color rgb="FF000000"/>
        <rFont val="Calibri"/>
        <family val="2"/>
        <charset val="1"/>
      </rPr>
      <t xml:space="preserve"> </t>
    </r>
    <r>
      <rPr>
        <sz val="11"/>
        <color rgb="FF000000"/>
        <rFont val="Calibri"/>
        <family val="2"/>
        <charset val="1"/>
      </rPr>
      <t>Mehedi Hasan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</si>
</sst>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b/>
      <sz val="11"/>
      <color theme="1"/>
      <name val="Calibri"/>
      <family val="2"/>
      <scheme val="minor"/>
    </font>
    <font>
      <sz val="10"/>
      <color rgb="FF000000"/>
      <name val="Calibri"/>
      <charset val="1"/>
    </font>
    <font>
      <b/>
      <sz val="14"/>
      <color theme="4"/>
      <name val="Calibri"/>
      <family val="2"/>
    </font>
    <font>
      <u/>
      <sz val="11"/>
      <color theme="10"/>
      <name val="Calibri"/>
      <family val="2"/>
      <scheme val="minor"/>
    </font>
    <font>
      <u/>
      <sz val="10"/>
      <color rgb="FF0000FF"/>
      <name val="Calibri"/>
      <family val="2"/>
      <charset val="1"/>
    </font>
    <font>
      <sz val="10"/>
      <color rgb="FF000000"/>
      <name val="Calibri"/>
      <family val="2"/>
      <charset val="1"/>
    </font>
    <font>
      <sz val="10"/>
      <color rgb="FF000000"/>
      <name val="Arial"/>
      <family val="2"/>
      <charset val="1"/>
    </font>
    <font>
      <b/>
      <sz val="11"/>
      <color rgb="FF000000"/>
      <name val="Calibri"/>
      <family val="2"/>
      <charset val="1"/>
    </font>
    <font>
      <sz val="11"/>
      <color rgb="FF000000"/>
      <name val="Calibri"/>
      <family val="2"/>
    </font>
    <font>
      <sz val="11"/>
      <color rgb="FF000000"/>
      <name val="Calibri"/>
      <family val="2"/>
      <charset val="1"/>
    </font>
    <font>
      <b/>
      <sz val="10"/>
      <color rgb="FF000000"/>
      <name val="Verdana"/>
      <family val="2"/>
      <charset val="1"/>
    </font>
    <font>
      <b/>
      <sz val="10"/>
      <color rgb="FFFFFFFF"/>
      <name val="Verdana"/>
      <family val="2"/>
      <charset val="1"/>
    </font>
    <font>
      <b/>
      <sz val="11"/>
      <name val="Calibri"/>
      <family val="2"/>
      <scheme val="minor"/>
    </font>
    <font>
      <b/>
      <sz val="11"/>
      <color rgb="FF000000"/>
      <name val="Calibri"/>
      <family val="2"/>
      <scheme val="minor"/>
    </font>
    <font>
      <b/>
      <sz val="11"/>
      <color rgb="FFFFFFFF"/>
      <name val="Calibri"/>
      <family val="2"/>
      <scheme val="minor"/>
    </font>
    <font>
      <b/>
      <sz val="12"/>
      <color rgb="FFFFFFFF"/>
      <name val="Times New Roman"/>
      <family val="1"/>
      <charset val="1"/>
    </font>
    <font>
      <b/>
      <sz val="11"/>
      <color rgb="FFFFFFFF"/>
      <name val="Times New Roman"/>
      <family val="1"/>
      <charset val="1"/>
    </font>
    <font>
      <sz val="11"/>
      <name val="Calibri"/>
      <family val="2"/>
      <charset val="1"/>
    </font>
    <font>
      <b/>
      <sz val="11"/>
      <color rgb="FF000000"/>
      <name val="Verdana"/>
      <family val="2"/>
      <charset val="1"/>
    </font>
    <font>
      <b/>
      <sz val="11"/>
      <name val="Calibri"/>
      <family val="2"/>
      <charset val="1"/>
    </font>
    <font>
      <sz val="11"/>
      <color rgb="FFFFFFFF"/>
      <name val="Calibri"/>
      <family val="2"/>
      <charset val="1"/>
    </font>
    <font>
      <sz val="11"/>
      <color rgb="FF0000FF"/>
      <name val="Calibri"/>
      <family val="2"/>
      <charset val="1"/>
    </font>
    <font>
      <sz val="10"/>
      <color rgb="FF808080"/>
      <name val="Calibri"/>
      <family val="2"/>
      <charset val="1"/>
    </font>
    <font>
      <sz val="11"/>
      <color rgb="FF808080"/>
      <name val="Calibri"/>
      <family val="2"/>
      <charset val="1"/>
    </font>
    <font>
      <sz val="11"/>
      <color rgb="FF808080"/>
      <name val="Verdana"/>
      <family val="2"/>
      <charset val="1"/>
    </font>
    <font>
      <sz val="10"/>
      <name val="Calibri"/>
      <family val="2"/>
      <charset val="1"/>
    </font>
    <font>
      <sz val="11"/>
      <color rgb="FF000000"/>
      <name val="Verdana"/>
      <family val="2"/>
      <charset val="1"/>
    </font>
    <font>
      <b/>
      <sz val="11"/>
      <color rgb="FF808080"/>
      <name val="Calibri"/>
      <family val="2"/>
      <charset val="1"/>
    </font>
    <font>
      <sz val="11"/>
      <color rgb="FF000000"/>
      <name val="Calibri"/>
      <family val="2"/>
      <scheme val="minor"/>
    </font>
    <font>
      <b/>
      <sz val="24"/>
      <color rgb="FFFFFFFF"/>
      <name val="Calibri"/>
      <family val="2"/>
      <charset val="1"/>
    </font>
    <font>
      <b/>
      <sz val="11"/>
      <name val="Comfortaa"/>
      <charset val="1"/>
    </font>
    <font>
      <b/>
      <sz val="12"/>
      <name val="Calibri"/>
      <family val="2"/>
      <charset val="1"/>
    </font>
    <font>
      <b/>
      <sz val="14"/>
      <name val="Calibri"/>
      <family val="2"/>
      <charset val="1"/>
    </font>
    <font>
      <sz val="10"/>
      <name val="Arial"/>
      <family val="2"/>
      <charset val="1"/>
    </font>
    <font>
      <b/>
      <sz val="10"/>
      <color rgb="FF000000"/>
      <name val="Arial"/>
      <family val="2"/>
      <charset val="1"/>
    </font>
    <font>
      <b/>
      <sz val="18"/>
      <color rgb="FF000000"/>
      <name val="Calibri"/>
      <family val="2"/>
      <charset val="1"/>
    </font>
    <font>
      <b/>
      <sz val="14"/>
      <color rgb="FF000000"/>
      <name val="Calibri"/>
      <family val="2"/>
      <charset val="1"/>
    </font>
    <font>
      <sz val="8"/>
      <name val="Calibri"/>
      <family val="2"/>
      <scheme val="minor"/>
    </font>
    <font>
      <sz val="10"/>
      <color rgb="FF000000"/>
      <name val="Calibri"/>
      <family val="2"/>
    </font>
    <font>
      <b/>
      <sz val="11"/>
      <color rgb="FF000000"/>
      <name val="Calibri"/>
      <family val="2"/>
    </font>
    <font>
      <u/>
      <sz val="11"/>
      <color rgb="FF0000FF"/>
      <name val="Calibri"/>
      <family val="2"/>
    </font>
    <font>
      <b/>
      <sz val="20"/>
      <color theme="1"/>
      <name val="Calibri"/>
      <family val="2"/>
      <scheme val="minor"/>
    </font>
  </fonts>
  <fills count="37">
    <fill>
      <patternFill patternType="none"/>
    </fill>
    <fill>
      <patternFill patternType="gray125"/>
    </fill>
    <fill>
      <patternFill patternType="solid">
        <fgColor rgb="FFDBEEF4"/>
        <bgColor rgb="FFDCE6F2"/>
      </patternFill>
    </fill>
    <fill>
      <patternFill patternType="solid">
        <fgColor rgb="FFFAC090"/>
        <bgColor rgb="FFE6B9B8"/>
      </patternFill>
    </fill>
    <fill>
      <patternFill patternType="solid">
        <fgColor theme="4" tint="0.79998168889431442"/>
        <bgColor indexed="64"/>
      </patternFill>
    </fill>
    <fill>
      <patternFill patternType="solid">
        <fgColor rgb="FFC6D9F0"/>
        <bgColor rgb="FFB6DDE8"/>
      </patternFill>
    </fill>
    <fill>
      <patternFill patternType="solid">
        <fgColor rgb="FF00FF00"/>
        <bgColor rgb="FF99FF66"/>
      </patternFill>
    </fill>
    <fill>
      <patternFill patternType="solid">
        <fgColor rgb="FFFF0000"/>
        <bgColor rgb="FFCC4125"/>
      </patternFill>
    </fill>
    <fill>
      <patternFill patternType="solid">
        <fgColor rgb="FFFFFF00"/>
        <bgColor rgb="FFFFC000"/>
      </patternFill>
    </fill>
    <fill>
      <patternFill patternType="solid">
        <fgColor rgb="FFFFFFFF"/>
        <bgColor rgb="FFF2F2F2"/>
      </patternFill>
    </fill>
    <fill>
      <patternFill patternType="solid">
        <fgColor rgb="FFBFBFBF"/>
        <bgColor rgb="FFCCC1DA"/>
      </patternFill>
    </fill>
    <fill>
      <patternFill patternType="solid">
        <fgColor rgb="FF00B0F0"/>
        <bgColor indexed="64"/>
      </patternFill>
    </fill>
    <fill>
      <patternFill patternType="solid">
        <fgColor theme="0"/>
        <bgColor indexed="64"/>
      </patternFill>
    </fill>
    <fill>
      <patternFill patternType="solid">
        <fgColor theme="0"/>
        <bgColor rgb="FFF2F2F2"/>
      </patternFill>
    </fill>
    <fill>
      <patternFill patternType="solid">
        <fgColor theme="8" tint="-0.249977111117893"/>
        <bgColor rgb="FF000080"/>
      </patternFill>
    </fill>
    <fill>
      <patternFill patternType="solid">
        <fgColor theme="9" tint="0.79998168889431442"/>
        <bgColor rgb="FFD9EAD3"/>
      </patternFill>
    </fill>
    <fill>
      <patternFill patternType="solid">
        <fgColor theme="9" tint="0.79998168889431442"/>
        <bgColor rgb="FFE6B9B8"/>
      </patternFill>
    </fill>
    <fill>
      <patternFill patternType="solid">
        <fgColor theme="0" tint="-0.249977111117893"/>
        <bgColor indexed="64"/>
      </patternFill>
    </fill>
    <fill>
      <patternFill patternType="solid">
        <fgColor theme="0" tint="-0.249977111117893"/>
        <bgColor rgb="FFD6E3BC"/>
      </patternFill>
    </fill>
    <fill>
      <patternFill patternType="solid">
        <fgColor rgb="FF0070C0"/>
        <bgColor rgb="FF008080"/>
      </patternFill>
    </fill>
    <fill>
      <patternFill patternType="solid">
        <fgColor rgb="FFF2DBDB"/>
        <bgColor rgb="FFD9D9D9"/>
      </patternFill>
    </fill>
    <fill>
      <patternFill patternType="solid">
        <fgColor rgb="FFDCE6F2"/>
        <bgColor rgb="FFDBEEF4"/>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C3D69B"/>
        <bgColor rgb="FFD6E3BC"/>
      </patternFill>
    </fill>
    <fill>
      <patternFill patternType="solid">
        <fgColor rgb="FFEBF1DE"/>
        <bgColor rgb="FFF2F2F2"/>
      </patternFill>
    </fill>
    <fill>
      <patternFill patternType="solid">
        <fgColor rgb="FFFFC000"/>
        <bgColor rgb="FFD6E3BC"/>
      </patternFill>
    </fill>
    <fill>
      <patternFill patternType="solid">
        <fgColor theme="4" tint="0.79998168889431442"/>
        <bgColor rgb="FFC6D9F0"/>
      </patternFill>
    </fill>
    <fill>
      <patternFill patternType="solid">
        <fgColor theme="9" tint="0.79998168889431442"/>
        <bgColor rgb="FFDBEEF4"/>
      </patternFill>
    </fill>
    <fill>
      <patternFill patternType="solid">
        <fgColor theme="3" tint="0.79998168889431442"/>
        <bgColor rgb="FF95B3D7"/>
      </patternFill>
    </fill>
    <fill>
      <patternFill patternType="solid">
        <fgColor theme="8" tint="0.59999389629810485"/>
        <bgColor rgb="FF95B3D7"/>
      </patternFill>
    </fill>
    <fill>
      <patternFill patternType="solid">
        <fgColor rgb="FF95B3D7"/>
        <bgColor rgb="FFA4C2F4"/>
      </patternFill>
    </fill>
    <fill>
      <patternFill patternType="solid">
        <fgColor theme="6" tint="0.79998168889431442"/>
        <bgColor indexed="64"/>
      </patternFill>
    </fill>
    <fill>
      <patternFill patternType="solid">
        <fgColor theme="6" tint="0.79998168889431442"/>
        <bgColor rgb="FFEBF1DE"/>
      </patternFill>
    </fill>
    <fill>
      <patternFill patternType="solid">
        <fgColor theme="5" tint="0.59999389629810485"/>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style="medium">
        <color indexed="64"/>
      </left>
      <right style="medium">
        <color indexed="64"/>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indexed="64"/>
      </left>
      <right/>
      <top/>
      <bottom/>
      <diagonal/>
    </border>
    <border>
      <left/>
      <right/>
      <top style="medium">
        <color indexed="64"/>
      </top>
      <bottom/>
      <diagonal/>
    </border>
    <border>
      <left style="medium">
        <color auto="1"/>
      </left>
      <right style="medium">
        <color indexed="64"/>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bottom/>
      <diagonal/>
    </border>
  </borders>
  <cellStyleXfs count="5">
    <xf numFmtId="0" fontId="0" fillId="0" borderId="0"/>
    <xf numFmtId="0" fontId="2" fillId="0" borderId="0"/>
    <xf numFmtId="0" fontId="4" fillId="0" borderId="0" applyNumberFormat="0" applyFill="0" applyBorder="0" applyAlignment="0" applyProtection="0"/>
    <xf numFmtId="0" fontId="39" fillId="0" borderId="0"/>
    <xf numFmtId="0" fontId="5" fillId="0" borderId="0" applyBorder="0" applyProtection="0"/>
  </cellStyleXfs>
  <cellXfs count="181">
    <xf numFmtId="0" fontId="0" fillId="0" borderId="0" xfId="0"/>
    <xf numFmtId="0" fontId="2" fillId="0" borderId="0" xfId="1"/>
    <xf numFmtId="0" fontId="4" fillId="0" borderId="7" xfId="2" applyFont="1" applyBorder="1" applyAlignment="1">
      <alignment horizontal="center" vertical="center"/>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14" fontId="10" fillId="0" borderId="4" xfId="0" applyNumberFormat="1" applyFont="1" applyBorder="1" applyAlignment="1">
      <alignment horizontal="center" vertical="center" wrapText="1"/>
    </xf>
    <xf numFmtId="14"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0" fillId="0" borderId="0" xfId="0" applyFont="1"/>
    <xf numFmtId="0" fontId="8" fillId="4" borderId="5"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0" fillId="9" borderId="3" xfId="0" applyFont="1" applyFill="1" applyBorder="1" applyAlignment="1">
      <alignment horizontal="center" vertical="center"/>
    </xf>
    <xf numFmtId="0" fontId="10" fillId="9"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3" xfId="0" applyFont="1" applyBorder="1" applyAlignment="1">
      <alignment horizontal="center" vertical="center"/>
    </xf>
    <xf numFmtId="0" fontId="21" fillId="9"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10" fillId="0" borderId="3" xfId="0" applyFont="1" applyBorder="1" applyAlignment="1">
      <alignment horizontal="center" vertical="center"/>
    </xf>
    <xf numFmtId="0" fontId="22" fillId="0" borderId="3" xfId="0" applyFont="1" applyBorder="1" applyAlignment="1">
      <alignment horizontal="center" vertical="center" wrapText="1"/>
    </xf>
    <xf numFmtId="0" fontId="4" fillId="0" borderId="3" xfId="2" applyBorder="1" applyAlignment="1" applyProtection="1">
      <alignment horizontal="center" vertical="center" wrapText="1"/>
    </xf>
    <xf numFmtId="0" fontId="10" fillId="12" borderId="3" xfId="0" applyFont="1" applyFill="1" applyBorder="1" applyAlignment="1">
      <alignment horizontal="center" vertical="center"/>
    </xf>
    <xf numFmtId="0" fontId="10" fillId="13" borderId="3" xfId="0" applyFont="1" applyFill="1" applyBorder="1" applyAlignment="1">
      <alignment horizontal="center" vertical="center" wrapText="1"/>
    </xf>
    <xf numFmtId="0" fontId="10" fillId="12" borderId="3" xfId="0" applyFont="1" applyFill="1" applyBorder="1" applyAlignment="1">
      <alignment horizontal="center" vertical="center" wrapText="1"/>
    </xf>
    <xf numFmtId="0" fontId="4" fillId="12" borderId="3" xfId="2" applyFill="1" applyBorder="1" applyAlignment="1" applyProtection="1">
      <alignment horizontal="center" vertical="center" wrapText="1"/>
    </xf>
    <xf numFmtId="0" fontId="22" fillId="12" borderId="3" xfId="0" applyFont="1" applyFill="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12" borderId="4"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10" fillId="0" borderId="14" xfId="0" applyFont="1" applyBorder="1" applyAlignment="1">
      <alignment horizontal="center" vertical="center" wrapText="1"/>
    </xf>
    <xf numFmtId="0" fontId="10" fillId="0" borderId="3" xfId="2" applyFont="1" applyBorder="1" applyAlignment="1" applyProtection="1">
      <alignment horizontal="center" vertical="center" wrapText="1"/>
    </xf>
    <xf numFmtId="0" fontId="16" fillId="14" borderId="2" xfId="0" applyFont="1" applyFill="1" applyBorder="1" applyAlignment="1">
      <alignment horizontal="center" vertical="center"/>
    </xf>
    <xf numFmtId="0" fontId="16" fillId="14" borderId="2" xfId="0" applyFont="1" applyFill="1" applyBorder="1" applyAlignment="1">
      <alignment horizontal="center" vertical="center" wrapText="1"/>
    </xf>
    <xf numFmtId="0" fontId="17" fillId="14" borderId="2" xfId="0" applyFont="1" applyFill="1" applyBorder="1" applyAlignment="1">
      <alignment horizontal="center" vertical="center" wrapText="1"/>
    </xf>
    <xf numFmtId="0" fontId="20" fillId="0" borderId="3" xfId="0" applyFont="1" applyBorder="1" applyAlignment="1">
      <alignment horizontal="center" vertical="center"/>
    </xf>
    <xf numFmtId="0" fontId="20" fillId="11" borderId="3" xfId="0" applyFont="1" applyFill="1" applyBorder="1" applyAlignment="1">
      <alignment horizontal="center" vertical="center"/>
    </xf>
    <xf numFmtId="0" fontId="20" fillId="12" borderId="3" xfId="0" applyFont="1" applyFill="1" applyBorder="1" applyAlignment="1">
      <alignment horizontal="center" vertical="center"/>
    </xf>
    <xf numFmtId="0" fontId="10" fillId="0" borderId="0" xfId="0" applyFont="1" applyBorder="1" applyAlignment="1">
      <alignment horizontal="center" vertical="center" wrapText="1"/>
    </xf>
    <xf numFmtId="0" fontId="18" fillId="0" borderId="0" xfId="0" applyFont="1" applyBorder="1" applyAlignment="1">
      <alignment horizontal="center" vertical="center"/>
    </xf>
    <xf numFmtId="0" fontId="22" fillId="0" borderId="0" xfId="0" applyFont="1" applyBorder="1" applyAlignment="1">
      <alignment horizontal="center" vertical="center" wrapText="1"/>
    </xf>
    <xf numFmtId="0" fontId="27"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0" fillId="0" borderId="0" xfId="0" applyFont="1"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20" fillId="0" borderId="12" xfId="0" applyFont="1" applyBorder="1" applyAlignment="1">
      <alignment horizontal="center" vertical="center" wrapText="1"/>
    </xf>
    <xf numFmtId="0" fontId="8" fillId="9" borderId="3" xfId="0" applyFont="1" applyFill="1" applyBorder="1" applyAlignment="1">
      <alignment horizontal="center" vertical="center"/>
    </xf>
    <xf numFmtId="0" fontId="12" fillId="9" borderId="3" xfId="0" applyFont="1" applyFill="1" applyBorder="1" applyAlignment="1">
      <alignment horizontal="center" vertical="center" wrapText="1"/>
    </xf>
    <xf numFmtId="0" fontId="20" fillId="0" borderId="13" xfId="0" applyFont="1" applyBorder="1" applyAlignment="1">
      <alignment horizontal="center" vertical="center" wrapText="1"/>
    </xf>
    <xf numFmtId="0" fontId="4" fillId="0" borderId="3" xfId="2"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9" fillId="0" borderId="0" xfId="0" applyFont="1" applyAlignment="1">
      <alignment horizontal="center" vertical="center"/>
    </xf>
    <xf numFmtId="0" fontId="20" fillId="0" borderId="14" xfId="0" applyFont="1" applyBorder="1" applyAlignment="1">
      <alignment horizontal="center" vertical="center" wrapText="1"/>
    </xf>
    <xf numFmtId="0" fontId="20" fillId="0" borderId="3" xfId="0" applyFont="1" applyBorder="1" applyAlignment="1">
      <alignment horizontal="center" vertical="center"/>
    </xf>
    <xf numFmtId="0" fontId="10" fillId="0" borderId="0" xfId="0" applyFont="1" applyBorder="1" applyAlignment="1">
      <alignment horizontal="center" vertical="center"/>
    </xf>
    <xf numFmtId="0" fontId="0" fillId="0" borderId="0" xfId="0" applyFont="1" applyBorder="1" applyAlignment="1">
      <alignment horizontal="center" vertical="center"/>
    </xf>
    <xf numFmtId="0" fontId="26" fillId="0" borderId="0" xfId="0" applyFont="1" applyBorder="1" applyAlignment="1">
      <alignment vertical="center"/>
    </xf>
    <xf numFmtId="0" fontId="10" fillId="0" borderId="0" xfId="0" applyFont="1" applyBorder="1" applyAlignment="1">
      <alignment vertical="center" wrapText="1"/>
    </xf>
    <xf numFmtId="0" fontId="29" fillId="3" borderId="3" xfId="0" applyFont="1" applyFill="1" applyBorder="1" applyAlignment="1">
      <alignment horizontal="center" vertical="center" wrapText="1"/>
    </xf>
    <xf numFmtId="0" fontId="20" fillId="0" borderId="0" xfId="0" applyFont="1" applyBorder="1" applyAlignment="1">
      <alignment vertical="center" wrapText="1"/>
    </xf>
    <xf numFmtId="0" fontId="20" fillId="0" borderId="12" xfId="0" applyFont="1" applyBorder="1" applyAlignment="1">
      <alignment horizontal="center" vertical="center"/>
    </xf>
    <xf numFmtId="0" fontId="10" fillId="0" borderId="12" xfId="0" applyFont="1" applyBorder="1" applyAlignment="1">
      <alignment horizontal="center" vertical="center"/>
    </xf>
    <xf numFmtId="0" fontId="10" fillId="0" borderId="0" xfId="0" applyFont="1" applyFill="1" applyBorder="1" applyAlignment="1">
      <alignment horizontal="center" vertical="center"/>
    </xf>
    <xf numFmtId="0" fontId="20" fillId="0" borderId="0" xfId="0" applyFont="1" applyFill="1" applyBorder="1" applyAlignment="1">
      <alignment vertical="center" wrapText="1"/>
    </xf>
    <xf numFmtId="0" fontId="26" fillId="0" borderId="0" xfId="0" applyFont="1" applyFill="1" applyBorder="1" applyAlignment="1">
      <alignment horizontal="center" vertical="center"/>
    </xf>
    <xf numFmtId="0" fontId="18" fillId="0" borderId="0" xfId="0" applyFont="1" applyFill="1" applyBorder="1" applyAlignment="1">
      <alignment horizontal="center" vertical="center"/>
    </xf>
    <xf numFmtId="0" fontId="27" fillId="0" borderId="0"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9" fillId="0" borderId="0" xfId="0" applyFont="1" applyBorder="1" applyAlignment="1">
      <alignment horizontal="center" vertical="center"/>
    </xf>
    <xf numFmtId="0" fontId="10" fillId="9" borderId="12" xfId="0" applyFont="1" applyFill="1" applyBorder="1" applyAlignment="1">
      <alignment horizontal="center" vertical="center"/>
    </xf>
    <xf numFmtId="0" fontId="0" fillId="0" borderId="12" xfId="0" applyBorder="1" applyAlignment="1">
      <alignment horizontal="center" vertical="center"/>
    </xf>
    <xf numFmtId="0" fontId="10" fillId="0" borderId="14" xfId="0" applyFont="1" applyBorder="1" applyAlignment="1">
      <alignment horizontal="center" vertical="center"/>
    </xf>
    <xf numFmtId="0" fontId="20" fillId="0" borderId="14" xfId="0" applyFont="1" applyBorder="1" applyAlignment="1">
      <alignment horizontal="center" vertical="center"/>
    </xf>
    <xf numFmtId="0" fontId="20" fillId="0" borderId="14" xfId="0" applyFont="1" applyBorder="1" applyAlignment="1">
      <alignment horizontal="center" vertical="center"/>
    </xf>
    <xf numFmtId="0" fontId="10" fillId="9" borderId="12"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11" fillId="9" borderId="12" xfId="0" applyFont="1" applyFill="1" applyBorder="1" applyAlignment="1">
      <alignment horizontal="center" vertical="center" wrapText="1"/>
    </xf>
    <xf numFmtId="0" fontId="10" fillId="9" borderId="14" xfId="0" applyFont="1" applyFill="1" applyBorder="1" applyAlignment="1">
      <alignment horizontal="center" vertical="center"/>
    </xf>
    <xf numFmtId="0" fontId="8" fillId="9" borderId="14" xfId="0" applyFont="1" applyFill="1" applyBorder="1" applyAlignment="1">
      <alignment horizontal="center" vertical="center"/>
    </xf>
    <xf numFmtId="0" fontId="10" fillId="9" borderId="14" xfId="0" applyFont="1" applyFill="1" applyBorder="1" applyAlignment="1">
      <alignment horizontal="center" vertical="center" wrapText="1"/>
    </xf>
    <xf numFmtId="0" fontId="12" fillId="9" borderId="14" xfId="0" applyFont="1" applyFill="1" applyBorder="1" applyAlignment="1">
      <alignment horizontal="center" vertical="center" wrapText="1"/>
    </xf>
    <xf numFmtId="0" fontId="10" fillId="10" borderId="6" xfId="0" applyFont="1" applyFill="1" applyBorder="1" applyAlignment="1">
      <alignment horizontal="center" vertical="center"/>
    </xf>
    <xf numFmtId="0" fontId="10" fillId="10" borderId="17" xfId="0" applyFont="1" applyFill="1" applyBorder="1" applyAlignment="1">
      <alignment horizontal="center" vertical="center" wrapText="1"/>
    </xf>
    <xf numFmtId="0" fontId="11" fillId="10" borderId="17" xfId="0" applyFont="1" applyFill="1" applyBorder="1" applyAlignment="1">
      <alignment horizontal="center" vertical="center"/>
    </xf>
    <xf numFmtId="0" fontId="11" fillId="10" borderId="17" xfId="0" applyFont="1" applyFill="1" applyBorder="1" applyAlignment="1">
      <alignment horizontal="center" vertical="center" wrapText="1"/>
    </xf>
    <xf numFmtId="0" fontId="19" fillId="10" borderId="17" xfId="0" applyFont="1" applyFill="1" applyBorder="1" applyAlignment="1">
      <alignment horizontal="center" vertical="center" wrapText="1"/>
    </xf>
    <xf numFmtId="0" fontId="11" fillId="10" borderId="4" xfId="0" applyFont="1" applyFill="1" applyBorder="1" applyAlignment="1">
      <alignment horizontal="center" vertical="center"/>
    </xf>
    <xf numFmtId="0" fontId="10" fillId="12" borderId="12" xfId="0" applyFont="1" applyFill="1" applyBorder="1" applyAlignment="1">
      <alignment horizontal="center" vertical="center" wrapText="1"/>
    </xf>
    <xf numFmtId="0" fontId="0" fillId="0" borderId="14" xfId="0" applyBorder="1" applyAlignment="1">
      <alignment horizontal="center" vertical="center"/>
    </xf>
    <xf numFmtId="0" fontId="18" fillId="10" borderId="17" xfId="0" applyFont="1" applyFill="1" applyBorder="1" applyAlignment="1">
      <alignment horizontal="center" vertical="center" wrapText="1"/>
    </xf>
    <xf numFmtId="0" fontId="20" fillId="10" borderId="4" xfId="0" applyFont="1" applyFill="1" applyBorder="1" applyAlignment="1">
      <alignment horizontal="center" vertical="center"/>
    </xf>
    <xf numFmtId="0" fontId="8" fillId="9" borderId="12" xfId="0" applyFont="1" applyFill="1" applyBorder="1" applyAlignment="1">
      <alignment horizontal="center" vertical="center"/>
    </xf>
    <xf numFmtId="0" fontId="21" fillId="0" borderId="12" xfId="0" applyFont="1" applyBorder="1" applyAlignment="1">
      <alignment horizontal="center" vertical="center" wrapText="1"/>
    </xf>
    <xf numFmtId="0" fontId="20" fillId="11" borderId="12" xfId="0" applyFont="1" applyFill="1" applyBorder="1" applyAlignment="1">
      <alignment horizontal="center" vertical="center"/>
    </xf>
    <xf numFmtId="0" fontId="22" fillId="0" borderId="14" xfId="0" applyFont="1" applyBorder="1" applyAlignment="1">
      <alignment horizontal="center" vertical="center" wrapText="1"/>
    </xf>
    <xf numFmtId="0" fontId="12" fillId="10" borderId="17" xfId="0" applyFont="1" applyFill="1" applyBorder="1" applyAlignment="1">
      <alignment horizontal="center" vertical="center"/>
    </xf>
    <xf numFmtId="0" fontId="21" fillId="10" borderId="17" xfId="0" applyFont="1" applyFill="1" applyBorder="1" applyAlignment="1">
      <alignment horizontal="center" vertical="center" wrapText="1"/>
    </xf>
    <xf numFmtId="0" fontId="13" fillId="15" borderId="12"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3" fillId="16" borderId="6" xfId="0" applyFont="1" applyFill="1" applyBorder="1" applyAlignment="1">
      <alignment horizontal="center" vertical="center" wrapText="1"/>
    </xf>
    <xf numFmtId="0" fontId="20" fillId="17" borderId="17" xfId="0" applyFont="1" applyFill="1" applyBorder="1" applyAlignment="1">
      <alignment vertical="center" wrapText="1"/>
    </xf>
    <xf numFmtId="0" fontId="10" fillId="17" borderId="6" xfId="0" applyFont="1" applyFill="1" applyBorder="1" applyAlignment="1">
      <alignment horizontal="center" vertical="center"/>
    </xf>
    <xf numFmtId="0" fontId="23" fillId="18" borderId="17" xfId="0" applyFont="1" applyFill="1" applyBorder="1" applyAlignment="1">
      <alignment horizontal="center" vertical="center"/>
    </xf>
    <xf numFmtId="0" fontId="24" fillId="18" borderId="17" xfId="0" applyFont="1" applyFill="1" applyBorder="1" applyAlignment="1">
      <alignment horizontal="center" vertical="center" wrapText="1"/>
    </xf>
    <xf numFmtId="0" fontId="25" fillId="18" borderId="17" xfId="0" applyFont="1" applyFill="1" applyBorder="1" applyAlignment="1">
      <alignment horizontal="center" vertical="center" wrapText="1"/>
    </xf>
    <xf numFmtId="0" fontId="28" fillId="18" borderId="4" xfId="0" applyFont="1" applyFill="1" applyBorder="1" applyAlignment="1">
      <alignment horizontal="center" vertical="center" wrapText="1"/>
    </xf>
    <xf numFmtId="0" fontId="35" fillId="0" borderId="3" xfId="0" applyFont="1" applyBorder="1" applyAlignment="1">
      <alignment horizontal="center" vertical="center"/>
    </xf>
    <xf numFmtId="0" fontId="7"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0" fillId="19" borderId="3" xfId="0" applyFont="1" applyFill="1" applyBorder="1" applyAlignment="1">
      <alignment horizontal="center" vertical="center"/>
    </xf>
    <xf numFmtId="0" fontId="20" fillId="20" borderId="19" xfId="0" applyFont="1" applyFill="1" applyBorder="1" applyAlignment="1">
      <alignment horizontal="center" vertical="center"/>
    </xf>
    <xf numFmtId="0" fontId="20" fillId="20" borderId="20" xfId="0" applyFont="1" applyFill="1" applyBorder="1" applyAlignment="1">
      <alignment horizontal="center" vertical="center"/>
    </xf>
    <xf numFmtId="0" fontId="34" fillId="0" borderId="0" xfId="0" applyFont="1" applyAlignment="1">
      <alignment horizontal="center" vertical="center"/>
    </xf>
    <xf numFmtId="0" fontId="20" fillId="26" borderId="3" xfId="0" applyFont="1" applyFill="1" applyBorder="1" applyAlignment="1">
      <alignment horizontal="center" vertical="center" wrapText="1"/>
    </xf>
    <xf numFmtId="0" fontId="18" fillId="27" borderId="3" xfId="0" applyFont="1" applyFill="1" applyBorder="1" applyAlignment="1">
      <alignment horizontal="center" vertical="center"/>
    </xf>
    <xf numFmtId="0" fontId="18" fillId="27" borderId="6" xfId="0" applyFont="1" applyFill="1" applyBorder="1" applyAlignment="1">
      <alignment horizontal="center" vertical="center"/>
    </xf>
    <xf numFmtId="0" fontId="18" fillId="27" borderId="17" xfId="0" applyFont="1" applyFill="1" applyBorder="1" applyAlignment="1">
      <alignment horizontal="center" vertical="center"/>
    </xf>
    <xf numFmtId="0" fontId="18" fillId="27" borderId="4" xfId="0" applyFont="1" applyFill="1" applyBorder="1" applyAlignment="1">
      <alignment horizontal="center" vertical="center"/>
    </xf>
    <xf numFmtId="0" fontId="20" fillId="26" borderId="6" xfId="0" applyFont="1" applyFill="1" applyBorder="1" applyAlignment="1">
      <alignment horizontal="center" vertical="center" wrapText="1"/>
    </xf>
    <xf numFmtId="0" fontId="20" fillId="26" borderId="17" xfId="0" applyFont="1" applyFill="1" applyBorder="1" applyAlignment="1">
      <alignment horizontal="center" vertical="center" wrapText="1"/>
    </xf>
    <xf numFmtId="0" fontId="20" fillId="26" borderId="4" xfId="0" applyFont="1" applyFill="1" applyBorder="1" applyAlignment="1">
      <alignment horizontal="center" vertical="center" wrapText="1"/>
    </xf>
    <xf numFmtId="0" fontId="20" fillId="28" borderId="3" xfId="0" applyFont="1" applyFill="1" applyBorder="1" applyAlignment="1">
      <alignment horizontal="center" vertical="center" wrapText="1"/>
    </xf>
    <xf numFmtId="0" fontId="20" fillId="29" borderId="5" xfId="0" applyFont="1" applyFill="1" applyBorder="1" applyAlignment="1">
      <alignment horizontal="center" vertical="center" wrapText="1"/>
    </xf>
    <xf numFmtId="0" fontId="31" fillId="30" borderId="14" xfId="0" applyFont="1" applyFill="1" applyBorder="1" applyAlignment="1">
      <alignment horizontal="center" vertical="center" wrapText="1"/>
    </xf>
    <xf numFmtId="0" fontId="33" fillId="0" borderId="0" xfId="0" applyFont="1" applyFill="1" applyBorder="1" applyAlignment="1">
      <alignment horizontal="center" vertical="center"/>
    </xf>
    <xf numFmtId="0" fontId="33" fillId="0" borderId="0" xfId="0" applyFont="1" applyFill="1" applyBorder="1" applyAlignment="1">
      <alignment horizontal="center" vertical="center" wrapText="1"/>
    </xf>
    <xf numFmtId="0" fontId="18" fillId="23" borderId="3" xfId="0" applyFont="1" applyFill="1" applyBorder="1" applyAlignment="1">
      <alignment horizontal="center" vertical="center"/>
    </xf>
    <xf numFmtId="0" fontId="18" fillId="24" borderId="3" xfId="0" applyFont="1" applyFill="1" applyBorder="1" applyAlignment="1">
      <alignment horizontal="center" vertical="center"/>
    </xf>
    <xf numFmtId="0" fontId="18" fillId="25" borderId="3" xfId="0" applyFont="1" applyFill="1" applyBorder="1" applyAlignment="1">
      <alignment horizontal="center" vertical="center"/>
    </xf>
    <xf numFmtId="0" fontId="10" fillId="3" borderId="3" xfId="0" applyFont="1" applyFill="1" applyBorder="1" applyAlignment="1">
      <alignment horizontal="center" vertical="center"/>
    </xf>
    <xf numFmtId="0" fontId="32" fillId="31" borderId="23" xfId="0" applyFont="1" applyFill="1" applyBorder="1" applyAlignment="1">
      <alignment horizontal="center" vertical="center" wrapText="1"/>
    </xf>
    <xf numFmtId="0" fontId="32" fillId="31" borderId="22" xfId="0" applyFont="1" applyFill="1" applyBorder="1" applyAlignment="1">
      <alignment horizontal="center" vertical="center" wrapText="1"/>
    </xf>
    <xf numFmtId="0" fontId="18" fillId="22" borderId="4" xfId="0" applyFont="1" applyFill="1" applyBorder="1" applyAlignment="1">
      <alignment horizontal="center" vertical="center"/>
    </xf>
    <xf numFmtId="0" fontId="32" fillId="31" borderId="3" xfId="0" applyFont="1" applyFill="1" applyBorder="1" applyAlignment="1">
      <alignment horizontal="center" vertical="center" wrapText="1"/>
    </xf>
    <xf numFmtId="0" fontId="35" fillId="32" borderId="3" xfId="0" applyFont="1" applyFill="1" applyBorder="1" applyAlignment="1">
      <alignment horizontal="center" vertical="center"/>
    </xf>
    <xf numFmtId="0" fontId="35" fillId="32" borderId="3" xfId="0" applyFont="1" applyFill="1" applyBorder="1" applyAlignment="1">
      <alignment horizontal="center" vertical="center" wrapText="1"/>
    </xf>
    <xf numFmtId="0" fontId="0" fillId="0" borderId="3" xfId="0" applyFill="1" applyBorder="1" applyAlignment="1">
      <alignment horizontal="center" vertical="center"/>
    </xf>
    <xf numFmtId="0" fontId="36" fillId="33" borderId="3" xfId="0" applyFont="1" applyFill="1" applyBorder="1" applyAlignment="1">
      <alignment horizontal="center" vertical="center"/>
    </xf>
    <xf numFmtId="0" fontId="37" fillId="21" borderId="3" xfId="0" applyFont="1" applyFill="1" applyBorder="1" applyAlignment="1">
      <alignment horizontal="center" vertical="center"/>
    </xf>
    <xf numFmtId="0" fontId="37" fillId="21" borderId="14" xfId="0" applyFont="1" applyFill="1" applyBorder="1" applyAlignment="1">
      <alignment horizontal="center" vertical="center"/>
    </xf>
    <xf numFmtId="0" fontId="8" fillId="0" borderId="3" xfId="0" applyFont="1" applyBorder="1" applyAlignment="1">
      <alignment horizontal="center" vertical="center"/>
    </xf>
    <xf numFmtId="0" fontId="13" fillId="5" borderId="3"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3" fillId="0" borderId="0" xfId="1" applyFont="1" applyAlignment="1">
      <alignment horizontal="center" vertical="center"/>
    </xf>
    <xf numFmtId="0" fontId="39" fillId="0" borderId="0" xfId="1" applyFont="1"/>
    <xf numFmtId="0" fontId="39" fillId="0" borderId="1" xfId="1" applyFont="1" applyBorder="1" applyAlignment="1">
      <alignment horizontal="center" vertical="center"/>
    </xf>
    <xf numFmtId="0" fontId="39" fillId="0" borderId="2" xfId="1" applyFont="1" applyBorder="1" applyAlignment="1">
      <alignment horizontal="center" vertical="center"/>
    </xf>
    <xf numFmtId="0" fontId="7" fillId="0" borderId="1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5" xfId="0" applyFont="1" applyBorder="1" applyAlignment="1">
      <alignment horizontal="center" vertical="center" wrapText="1"/>
    </xf>
    <xf numFmtId="0" fontId="40" fillId="0" borderId="0" xfId="0" applyFont="1" applyFill="1" applyBorder="1" applyAlignment="1">
      <alignment vertical="center"/>
    </xf>
    <xf numFmtId="0" fontId="0" fillId="34" borderId="13" xfId="0" applyFont="1" applyFill="1" applyBorder="1" applyAlignment="1">
      <alignment vertical="center"/>
    </xf>
    <xf numFmtId="0" fontId="40" fillId="35" borderId="13" xfId="0" applyFont="1" applyFill="1" applyBorder="1" applyAlignment="1">
      <alignment vertical="center"/>
    </xf>
    <xf numFmtId="0" fontId="9" fillId="35" borderId="13" xfId="0" applyFont="1" applyFill="1" applyBorder="1" applyAlignment="1">
      <alignment vertical="center" wrapText="1"/>
    </xf>
    <xf numFmtId="0" fontId="40" fillId="35" borderId="13" xfId="0" applyFont="1" applyFill="1" applyBorder="1" applyAlignment="1">
      <alignment horizontal="left" vertical="center"/>
    </xf>
    <xf numFmtId="0" fontId="42" fillId="36" borderId="3" xfId="0" applyFont="1" applyFill="1" applyBorder="1" applyAlignment="1">
      <alignment horizontal="center" vertical="center" wrapText="1"/>
    </xf>
    <xf numFmtId="0" fontId="0" fillId="34" borderId="13" xfId="0" applyFont="1" applyFill="1" applyBorder="1" applyAlignment="1">
      <alignment vertical="center" wrapText="1"/>
    </xf>
    <xf numFmtId="0" fontId="42" fillId="36" borderId="12" xfId="0" applyFont="1" applyFill="1" applyBorder="1" applyAlignment="1">
      <alignment horizontal="center" vertical="center" wrapText="1"/>
    </xf>
    <xf numFmtId="0" fontId="41" fillId="34" borderId="13" xfId="4" applyFont="1" applyFill="1" applyBorder="1" applyAlignment="1" applyProtection="1">
      <alignment vertical="center"/>
    </xf>
    <xf numFmtId="0" fontId="1" fillId="34" borderId="12" xfId="0" applyFont="1" applyFill="1" applyBorder="1" applyAlignment="1">
      <alignment vertical="center"/>
    </xf>
    <xf numFmtId="0" fontId="8" fillId="35" borderId="14" xfId="0" applyFont="1" applyFill="1" applyBorder="1" applyAlignment="1">
      <alignment horizontal="left" vertical="center"/>
    </xf>
  </cellXfs>
  <cellStyles count="5">
    <cellStyle name="Hyperlink" xfId="2" builtinId="8"/>
    <cellStyle name="Hyperlink 2" xfId="4" xr:uid="{80793741-BA57-4AE4-AFE8-638192DFA652}"/>
    <cellStyle name="Normal" xfId="0" builtinId="0"/>
    <cellStyle name="Normal 2" xfId="1" xr:uid="{56C67A0E-66DB-4DBA-9F57-58F0EC134B75}"/>
    <cellStyle name="Normal 3" xfId="3" xr:uid="{70566014-3A01-4109-9253-9DDF62BC34D2}"/>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 Case Report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DB-42CA-9763-6EAD8AFE098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4DB-42CA-9763-6EAD8AFE09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DB-42CA-9763-6EAD8AFE09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4DB-42CA-9763-6EAD8AFE0989}"/>
              </c:ext>
            </c:extLst>
          </c:dPt>
          <c:dLbls>
            <c:dLbl>
              <c:idx val="2"/>
              <c:delete val="1"/>
              <c:extLst>
                <c:ext xmlns:c15="http://schemas.microsoft.com/office/drawing/2012/chart" uri="{CE6537A1-D6FC-4f65-9D91-7224C49458BB}"/>
                <c:ext xmlns:c16="http://schemas.microsoft.com/office/drawing/2014/chart" uri="{C3380CC4-5D6E-409C-BE32-E72D297353CC}">
                  <c16:uniqueId val="{00000003-14DB-42CA-9763-6EAD8AFE0989}"/>
                </c:ext>
              </c:extLst>
            </c:dLbl>
            <c:dLbl>
              <c:idx val="3"/>
              <c:delete val="1"/>
              <c:extLst>
                <c:ext xmlns:c15="http://schemas.microsoft.com/office/drawing/2012/chart" uri="{CE6537A1-D6FC-4f65-9D91-7224C49458BB}"/>
                <c:ext xmlns:c16="http://schemas.microsoft.com/office/drawing/2014/chart" uri="{C3380CC4-5D6E-409C-BE32-E72D297353CC}">
                  <c16:uniqueId val="{00000002-14DB-42CA-9763-6EAD8AFE0989}"/>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Report!$D$10:$G$10</c:f>
              <c:strCache>
                <c:ptCount val="4"/>
                <c:pt idx="0">
                  <c:v>PASS</c:v>
                </c:pt>
                <c:pt idx="1">
                  <c:v>FAIL</c:v>
                </c:pt>
                <c:pt idx="2">
                  <c:v>Not Executed</c:v>
                </c:pt>
                <c:pt idx="3">
                  <c:v>Out Of Scope</c:v>
                </c:pt>
              </c:strCache>
            </c:strRef>
          </c:cat>
          <c:val>
            <c:numRef>
              <c:f>Report!$D$11:$G$11</c:f>
              <c:numCache>
                <c:formatCode>General</c:formatCode>
                <c:ptCount val="4"/>
                <c:pt idx="0">
                  <c:v>45</c:v>
                </c:pt>
                <c:pt idx="1">
                  <c:v>3</c:v>
                </c:pt>
                <c:pt idx="2">
                  <c:v>0</c:v>
                </c:pt>
                <c:pt idx="3">
                  <c:v>0</c:v>
                </c:pt>
              </c:numCache>
            </c:numRef>
          </c:val>
          <c:extLst>
            <c:ext xmlns:c16="http://schemas.microsoft.com/office/drawing/2014/chart" uri="{C3380CC4-5D6E-409C-BE32-E72D297353CC}">
              <c16:uniqueId val="{00000000-14DB-42CA-9763-6EAD8AFE09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495300</xdr:colOff>
      <xdr:row>12</xdr:row>
      <xdr:rowOff>23812</xdr:rowOff>
    </xdr:from>
    <xdr:to>
      <xdr:col>7</xdr:col>
      <xdr:colOff>95250</xdr:colOff>
      <xdr:row>25</xdr:row>
      <xdr:rowOff>185737</xdr:rowOff>
    </xdr:to>
    <xdr:graphicFrame macro="">
      <xdr:nvGraphicFramePr>
        <xdr:cNvPr id="3" name="Chart 2">
          <a:extLst>
            <a:ext uri="{FF2B5EF4-FFF2-40B4-BE49-F238E27FC236}">
              <a16:creationId xmlns:a16="http://schemas.microsoft.com/office/drawing/2014/main" id="{EBF45276-AB89-21DF-097F-1F699B4DD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thoba.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quByd9F4HhlmN6k8G3fURoGu3zbixsqc/view?usp=drive_link" TargetMode="External"/><Relationship Id="rId1" Type="http://schemas.openxmlformats.org/officeDocument/2006/relationships/hyperlink" Target="https://drive.google.com/file/d/1quByd9F4HhlmN6k8G3fURoGu3zbixsqc/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A6C8-450C-4A5F-8248-EEDFDDC92FC7}">
  <dimension ref="A1:E19"/>
  <sheetViews>
    <sheetView zoomScale="130" zoomScaleNormal="130" workbookViewId="0">
      <selection activeCell="H14" sqref="H14"/>
    </sheetView>
  </sheetViews>
  <sheetFormatPr defaultRowHeight="12.75"/>
  <cols>
    <col min="1" max="2" width="9.140625" style="1"/>
    <col min="3" max="3" width="9.85546875" style="1" customWidth="1"/>
    <col min="4" max="4" width="22.5703125" style="1" bestFit="1" customWidth="1"/>
    <col min="5" max="5" width="88.42578125" style="1" bestFit="1" customWidth="1"/>
    <col min="6" max="16384" width="9.140625" style="1"/>
  </cols>
  <sheetData>
    <row r="1" spans="1:5" ht="18.75" customHeight="1">
      <c r="A1" s="157" t="s">
        <v>0</v>
      </c>
      <c r="B1" s="157"/>
      <c r="C1" s="157"/>
      <c r="D1" s="157"/>
      <c r="E1" s="157"/>
    </row>
    <row r="2" spans="1:5">
      <c r="A2" s="157"/>
      <c r="B2" s="157"/>
      <c r="C2" s="157"/>
      <c r="D2" s="157"/>
      <c r="E2" s="157"/>
    </row>
    <row r="3" spans="1:5" s="158" customFormat="1" ht="15" customHeight="1">
      <c r="C3" s="159" t="s">
        <v>308</v>
      </c>
      <c r="D3" s="159" t="s">
        <v>1</v>
      </c>
      <c r="E3" s="159" t="s">
        <v>2</v>
      </c>
    </row>
    <row r="4" spans="1:5" s="158" customFormat="1" ht="15" customHeight="1">
      <c r="C4" s="159" t="s">
        <v>310</v>
      </c>
      <c r="D4" s="159" t="s">
        <v>3</v>
      </c>
      <c r="E4" s="159" t="s">
        <v>4</v>
      </c>
    </row>
    <row r="5" spans="1:5" s="158" customFormat="1" ht="15" customHeight="1">
      <c r="C5" s="159" t="s">
        <v>311</v>
      </c>
      <c r="D5" s="159" t="s">
        <v>5</v>
      </c>
      <c r="E5" s="159" t="s">
        <v>6</v>
      </c>
    </row>
    <row r="6" spans="1:5" s="158" customFormat="1" ht="15" customHeight="1">
      <c r="C6" s="159" t="s">
        <v>312</v>
      </c>
      <c r="D6" s="159" t="s">
        <v>7</v>
      </c>
      <c r="E6" s="159" t="s">
        <v>8</v>
      </c>
    </row>
    <row r="7" spans="1:5" s="158" customFormat="1" ht="15" customHeight="1">
      <c r="C7" s="159" t="s">
        <v>313</v>
      </c>
      <c r="D7" s="159" t="s">
        <v>9</v>
      </c>
      <c r="E7" s="159" t="s">
        <v>10</v>
      </c>
    </row>
    <row r="8" spans="1:5" s="158" customFormat="1" ht="15" customHeight="1">
      <c r="C8" s="159" t="s">
        <v>314</v>
      </c>
      <c r="D8" s="159" t="s">
        <v>11</v>
      </c>
      <c r="E8" s="159" t="s">
        <v>12</v>
      </c>
    </row>
    <row r="9" spans="1:5" s="158" customFormat="1" ht="15" customHeight="1">
      <c r="C9" s="159" t="s">
        <v>315</v>
      </c>
      <c r="D9" s="159" t="s">
        <v>13</v>
      </c>
      <c r="E9" s="159" t="s">
        <v>14</v>
      </c>
    </row>
    <row r="10" spans="1:5" s="158" customFormat="1" ht="15" customHeight="1">
      <c r="C10" s="159" t="s">
        <v>316</v>
      </c>
      <c r="D10" s="159" t="s">
        <v>15</v>
      </c>
      <c r="E10" s="159" t="s">
        <v>16</v>
      </c>
    </row>
    <row r="11" spans="1:5" s="158" customFormat="1" ht="15" customHeight="1">
      <c r="C11" s="159" t="s">
        <v>317</v>
      </c>
      <c r="D11" s="159" t="s">
        <v>17</v>
      </c>
      <c r="E11" s="159" t="s">
        <v>18</v>
      </c>
    </row>
    <row r="12" spans="1:5" s="158" customFormat="1" ht="15" customHeight="1">
      <c r="C12" s="159" t="s">
        <v>318</v>
      </c>
      <c r="D12" s="159" t="s">
        <v>19</v>
      </c>
      <c r="E12" s="159" t="s">
        <v>20</v>
      </c>
    </row>
    <row r="13" spans="1:5" s="158" customFormat="1" ht="15" customHeight="1">
      <c r="C13" s="159" t="s">
        <v>309</v>
      </c>
      <c r="D13" s="159" t="s">
        <v>21</v>
      </c>
      <c r="E13" s="159" t="s">
        <v>22</v>
      </c>
    </row>
    <row r="14" spans="1:5" s="158" customFormat="1" ht="15" customHeight="1">
      <c r="C14" s="159" t="s">
        <v>319</v>
      </c>
      <c r="D14" s="159" t="s">
        <v>23</v>
      </c>
      <c r="E14" s="159" t="s">
        <v>24</v>
      </c>
    </row>
    <row r="15" spans="1:5" s="158" customFormat="1" ht="15" customHeight="1">
      <c r="C15" s="159" t="s">
        <v>320</v>
      </c>
      <c r="D15" s="159" t="s">
        <v>25</v>
      </c>
      <c r="E15" s="159" t="s">
        <v>26</v>
      </c>
    </row>
    <row r="16" spans="1:5" s="158" customFormat="1" ht="15" customHeight="1">
      <c r="C16" s="159" t="s">
        <v>321</v>
      </c>
      <c r="D16" s="159" t="s">
        <v>27</v>
      </c>
      <c r="E16" s="159" t="s">
        <v>28</v>
      </c>
    </row>
    <row r="17" spans="3:5" s="158" customFormat="1" ht="15" customHeight="1">
      <c r="C17" s="159" t="s">
        <v>322</v>
      </c>
      <c r="D17" s="159" t="s">
        <v>29</v>
      </c>
      <c r="E17" s="159" t="s">
        <v>30</v>
      </c>
    </row>
    <row r="18" spans="3:5" s="158" customFormat="1" ht="15" customHeight="1">
      <c r="C18" s="159" t="s">
        <v>323</v>
      </c>
      <c r="D18" s="160" t="s">
        <v>31</v>
      </c>
      <c r="E18" s="160" t="s">
        <v>32</v>
      </c>
    </row>
    <row r="19" spans="3:5" s="158" customFormat="1" ht="15" customHeight="1">
      <c r="C19" s="159" t="s">
        <v>324</v>
      </c>
      <c r="D19" s="159" t="s">
        <v>33</v>
      </c>
      <c r="E19" s="159" t="s">
        <v>34</v>
      </c>
    </row>
  </sheetData>
  <mergeCells count="1">
    <mergeCell ref="A1:E2"/>
  </mergeCells>
  <phoneticPr fontId="3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9"/>
  <sheetViews>
    <sheetView zoomScaleNormal="100" workbookViewId="0">
      <selection activeCell="P39" sqref="P39"/>
    </sheetView>
  </sheetViews>
  <sheetFormatPr defaultRowHeight="15"/>
  <cols>
    <col min="1" max="1" width="9.140625" style="54"/>
    <col min="2" max="2" width="12.85546875" style="54" bestFit="1" customWidth="1"/>
    <col min="3" max="3" width="19.7109375" style="54" bestFit="1" customWidth="1"/>
    <col min="4" max="4" width="13.28515625" style="54" customWidth="1"/>
    <col min="5" max="5" width="57.28515625" style="54" bestFit="1" customWidth="1"/>
    <col min="6" max="6" width="18.7109375" style="54" bestFit="1" customWidth="1"/>
    <col min="7" max="7" width="14.140625" style="54" bestFit="1" customWidth="1"/>
    <col min="8" max="8" width="24.42578125" style="54" bestFit="1" customWidth="1"/>
    <col min="9" max="9" width="18.7109375" style="54" customWidth="1"/>
    <col min="10" max="10" width="12.85546875" style="54" bestFit="1" customWidth="1"/>
    <col min="11" max="11" width="14.42578125" style="54" customWidth="1"/>
    <col min="12" max="12" width="12.85546875" style="54" bestFit="1" customWidth="1"/>
    <col min="13" max="16384" width="9.140625" style="54"/>
  </cols>
  <sheetData>
    <row r="1" spans="1:12" ht="30.75" thickBot="1">
      <c r="A1" s="3" t="s">
        <v>35</v>
      </c>
      <c r="B1" s="4"/>
      <c r="C1" s="2" t="s">
        <v>36</v>
      </c>
      <c r="D1" s="6" t="s">
        <v>37</v>
      </c>
      <c r="E1" s="10">
        <v>46082</v>
      </c>
      <c r="F1" s="6" t="s">
        <v>38</v>
      </c>
      <c r="G1" s="10">
        <v>46082</v>
      </c>
      <c r="J1" s="20" t="s">
        <v>52</v>
      </c>
      <c r="K1" s="21"/>
      <c r="L1" s="55"/>
    </row>
    <row r="2" spans="1:12" ht="30.75" thickBot="1">
      <c r="A2" s="3" t="s">
        <v>39</v>
      </c>
      <c r="B2" s="3"/>
      <c r="C2" s="8" t="s">
        <v>40</v>
      </c>
      <c r="D2" s="7" t="s">
        <v>41</v>
      </c>
      <c r="E2" s="11">
        <v>46113</v>
      </c>
      <c r="F2" s="7" t="s">
        <v>42</v>
      </c>
      <c r="G2" s="11">
        <v>46113</v>
      </c>
      <c r="J2" s="15" t="s">
        <v>53</v>
      </c>
      <c r="K2" s="111">
        <f>COUNTIF(L:L, "Passed")</f>
        <v>45</v>
      </c>
    </row>
    <row r="3" spans="1:12" ht="45.75" thickBot="1">
      <c r="A3" s="3" t="s">
        <v>43</v>
      </c>
      <c r="B3" s="3"/>
      <c r="C3" s="9"/>
      <c r="D3" s="7" t="s">
        <v>44</v>
      </c>
      <c r="E3" s="12" t="s">
        <v>51</v>
      </c>
      <c r="F3" s="14" t="s">
        <v>45</v>
      </c>
      <c r="G3" s="12" t="s">
        <v>46</v>
      </c>
      <c r="J3" s="16" t="s">
        <v>54</v>
      </c>
      <c r="K3" s="112">
        <f>COUNTIF(L:L, "Failed")</f>
        <v>3</v>
      </c>
      <c r="L3" s="55"/>
    </row>
    <row r="4" spans="1:12" ht="30.75" thickBot="1">
      <c r="A4" s="3" t="s">
        <v>58</v>
      </c>
      <c r="B4" s="3"/>
      <c r="C4" s="9"/>
      <c r="D4" s="7" t="s">
        <v>47</v>
      </c>
      <c r="E4" s="12"/>
      <c r="F4" s="14" t="s">
        <v>48</v>
      </c>
      <c r="G4" s="12" t="s">
        <v>49</v>
      </c>
      <c r="J4" s="17" t="s">
        <v>55</v>
      </c>
      <c r="K4" s="112">
        <f>COUNTIF(L:L, "Not Executed")</f>
        <v>0</v>
      </c>
      <c r="L4" s="55"/>
    </row>
    <row r="5" spans="1:12" ht="15.75" thickBot="1">
      <c r="A5" s="5" t="s">
        <v>50</v>
      </c>
      <c r="B5" s="5"/>
      <c r="C5" s="71" t="s">
        <v>51</v>
      </c>
      <c r="D5" s="71"/>
      <c r="E5" s="71"/>
      <c r="F5" s="71"/>
      <c r="G5" s="71"/>
      <c r="J5" s="18" t="s">
        <v>56</v>
      </c>
      <c r="K5" s="113">
        <f>COUNTIF(L:L, "Out of Scope")</f>
        <v>0</v>
      </c>
      <c r="L5" s="55"/>
    </row>
    <row r="6" spans="1:12" ht="15.75" thickBot="1">
      <c r="J6" s="19" t="s">
        <v>57</v>
      </c>
      <c r="K6" s="110">
        <f>SUM(K2:K5)</f>
        <v>48</v>
      </c>
    </row>
    <row r="7" spans="1:12">
      <c r="K7" s="56"/>
    </row>
    <row r="11" spans="1:12" ht="30.75" customHeight="1" thickBot="1">
      <c r="A11" s="43" t="s">
        <v>59</v>
      </c>
      <c r="B11" s="43" t="s">
        <v>60</v>
      </c>
      <c r="C11" s="43" t="s">
        <v>61</v>
      </c>
      <c r="D11" s="43" t="s">
        <v>62</v>
      </c>
      <c r="E11" s="44" t="s">
        <v>63</v>
      </c>
      <c r="F11" s="44" t="s">
        <v>64</v>
      </c>
      <c r="G11" s="44" t="s">
        <v>65</v>
      </c>
      <c r="H11" s="45" t="s">
        <v>66</v>
      </c>
      <c r="I11" s="44" t="s">
        <v>67</v>
      </c>
      <c r="J11" s="44" t="s">
        <v>68</v>
      </c>
      <c r="K11" s="44" t="s">
        <v>69</v>
      </c>
      <c r="L11" s="43" t="s">
        <v>70</v>
      </c>
    </row>
    <row r="12" spans="1:12" ht="87" customHeight="1" thickBot="1">
      <c r="A12" s="82">
        <v>1</v>
      </c>
      <c r="B12" s="87"/>
      <c r="C12" s="88" t="s">
        <v>71</v>
      </c>
      <c r="D12" s="82" t="s">
        <v>217</v>
      </c>
      <c r="E12" s="87" t="s">
        <v>72</v>
      </c>
      <c r="F12" s="87" t="s">
        <v>73</v>
      </c>
      <c r="G12" s="87" t="s">
        <v>74</v>
      </c>
      <c r="H12" s="87" t="s">
        <v>75</v>
      </c>
      <c r="I12" s="87" t="s">
        <v>76</v>
      </c>
      <c r="J12" s="89"/>
      <c r="K12" s="89"/>
      <c r="L12" s="73" t="s">
        <v>77</v>
      </c>
    </row>
    <row r="13" spans="1:12" ht="15.75" thickBot="1">
      <c r="A13" s="94"/>
      <c r="B13" s="95"/>
      <c r="C13" s="95"/>
      <c r="D13" s="96"/>
      <c r="E13" s="97"/>
      <c r="F13" s="97"/>
      <c r="G13" s="97"/>
      <c r="H13" s="98"/>
      <c r="I13" s="97"/>
      <c r="J13" s="97"/>
      <c r="K13" s="97"/>
      <c r="L13" s="99"/>
    </row>
    <row r="14" spans="1:12" ht="150.75" thickBot="1">
      <c r="A14" s="90">
        <v>2</v>
      </c>
      <c r="B14" s="60" t="s">
        <v>216</v>
      </c>
      <c r="C14" s="91" t="s">
        <v>78</v>
      </c>
      <c r="D14" s="57" t="s">
        <v>79</v>
      </c>
      <c r="E14" s="92" t="s">
        <v>80</v>
      </c>
      <c r="F14" s="92" t="s">
        <v>81</v>
      </c>
      <c r="G14" s="92" t="s">
        <v>74</v>
      </c>
      <c r="H14" s="92" t="s">
        <v>82</v>
      </c>
      <c r="I14" s="92" t="s">
        <v>83</v>
      </c>
      <c r="J14" s="93"/>
      <c r="K14" s="93"/>
      <c r="L14" s="86" t="s">
        <v>77</v>
      </c>
    </row>
    <row r="15" spans="1:12" ht="120.75" thickBot="1">
      <c r="A15" s="22">
        <v>3</v>
      </c>
      <c r="B15" s="60"/>
      <c r="C15" s="58"/>
      <c r="D15" s="60"/>
      <c r="E15" s="23" t="s">
        <v>84</v>
      </c>
      <c r="F15" s="23" t="s">
        <v>85</v>
      </c>
      <c r="G15" s="23" t="s">
        <v>74</v>
      </c>
      <c r="H15" s="23" t="s">
        <v>82</v>
      </c>
      <c r="I15" s="23" t="s">
        <v>86</v>
      </c>
      <c r="J15" s="59"/>
      <c r="K15" s="59"/>
      <c r="L15" s="46" t="s">
        <v>77</v>
      </c>
    </row>
    <row r="16" spans="1:12" ht="90.75" thickBot="1">
      <c r="A16" s="22">
        <v>4</v>
      </c>
      <c r="B16" s="60"/>
      <c r="C16" s="58"/>
      <c r="D16" s="60"/>
      <c r="E16" s="23" t="s">
        <v>252</v>
      </c>
      <c r="F16" s="23" t="s">
        <v>253</v>
      </c>
      <c r="G16" s="23" t="s">
        <v>74</v>
      </c>
      <c r="H16" s="23" t="s">
        <v>82</v>
      </c>
      <c r="I16" s="23" t="s">
        <v>254</v>
      </c>
      <c r="J16" s="27"/>
      <c r="K16" s="27"/>
      <c r="L16" s="46" t="s">
        <v>77</v>
      </c>
    </row>
    <row r="17" spans="1:12" ht="75.75" thickBot="1">
      <c r="A17" s="22">
        <v>5</v>
      </c>
      <c r="B17" s="60"/>
      <c r="C17" s="58"/>
      <c r="D17" s="60"/>
      <c r="E17" s="23" t="s">
        <v>87</v>
      </c>
      <c r="F17" s="23" t="s">
        <v>88</v>
      </c>
      <c r="G17" s="23" t="s">
        <v>74</v>
      </c>
      <c r="H17" s="23" t="s">
        <v>82</v>
      </c>
      <c r="I17" s="23" t="s">
        <v>89</v>
      </c>
      <c r="J17" s="27"/>
      <c r="K17" s="27"/>
      <c r="L17" s="46" t="s">
        <v>77</v>
      </c>
    </row>
    <row r="18" spans="1:12" ht="120.75" thickBot="1">
      <c r="A18" s="22">
        <v>6</v>
      </c>
      <c r="B18" s="60"/>
      <c r="C18" s="58"/>
      <c r="D18" s="60"/>
      <c r="E18" s="23" t="s">
        <v>90</v>
      </c>
      <c r="F18" s="23" t="s">
        <v>91</v>
      </c>
      <c r="G18" s="23" t="s">
        <v>74</v>
      </c>
      <c r="H18" s="23" t="s">
        <v>82</v>
      </c>
      <c r="I18" s="23" t="s">
        <v>92</v>
      </c>
      <c r="J18" s="27"/>
      <c r="K18" s="27"/>
      <c r="L18" s="46" t="s">
        <v>77</v>
      </c>
    </row>
    <row r="19" spans="1:12" ht="90.75" thickBot="1">
      <c r="A19" s="22">
        <v>7</v>
      </c>
      <c r="B19" s="60"/>
      <c r="C19" s="58"/>
      <c r="D19" s="60"/>
      <c r="E19" s="23" t="s">
        <v>93</v>
      </c>
      <c r="F19" s="23" t="s">
        <v>94</v>
      </c>
      <c r="G19" s="23" t="s">
        <v>74</v>
      </c>
      <c r="H19" s="23" t="s">
        <v>82</v>
      </c>
      <c r="I19" s="23" t="s">
        <v>95</v>
      </c>
      <c r="J19" s="27"/>
      <c r="K19" s="27"/>
      <c r="L19" s="46" t="s">
        <v>77</v>
      </c>
    </row>
    <row r="20" spans="1:12" ht="90.75" thickBot="1">
      <c r="A20" s="22">
        <v>8</v>
      </c>
      <c r="B20" s="60"/>
      <c r="C20" s="58"/>
      <c r="D20" s="60"/>
      <c r="E20" s="23" t="s">
        <v>96</v>
      </c>
      <c r="F20" s="23" t="s">
        <v>97</v>
      </c>
      <c r="G20" s="23" t="s">
        <v>74</v>
      </c>
      <c r="H20" s="23" t="s">
        <v>82</v>
      </c>
      <c r="I20" s="23" t="s">
        <v>98</v>
      </c>
      <c r="J20" s="27"/>
      <c r="K20" s="27"/>
      <c r="L20" s="46" t="s">
        <v>77</v>
      </c>
    </row>
    <row r="21" spans="1:12" ht="150.75" thickBot="1">
      <c r="A21" s="22">
        <v>9</v>
      </c>
      <c r="B21" s="60"/>
      <c r="C21" s="58"/>
      <c r="D21" s="60"/>
      <c r="E21" s="24" t="s">
        <v>99</v>
      </c>
      <c r="F21" s="24" t="s">
        <v>94</v>
      </c>
      <c r="G21" s="24" t="s">
        <v>74</v>
      </c>
      <c r="H21" s="24" t="s">
        <v>82</v>
      </c>
      <c r="I21" s="24" t="s">
        <v>251</v>
      </c>
      <c r="J21" s="61"/>
      <c r="K21" s="28"/>
      <c r="L21" s="47" t="s">
        <v>77</v>
      </c>
    </row>
    <row r="22" spans="1:12" ht="135.75" thickBot="1">
      <c r="A22" s="82">
        <v>10</v>
      </c>
      <c r="B22" s="60"/>
      <c r="C22" s="104"/>
      <c r="D22" s="60"/>
      <c r="E22" s="37" t="s">
        <v>102</v>
      </c>
      <c r="F22" s="37" t="s">
        <v>103</v>
      </c>
      <c r="G22" s="37" t="s">
        <v>74</v>
      </c>
      <c r="H22" s="37" t="s">
        <v>82</v>
      </c>
      <c r="I22" s="37" t="s">
        <v>104</v>
      </c>
      <c r="J22" s="62"/>
      <c r="K22" s="105"/>
      <c r="L22" s="106" t="s">
        <v>77</v>
      </c>
    </row>
    <row r="23" spans="1:12" ht="15.75" thickBot="1">
      <c r="A23" s="94"/>
      <c r="B23" s="114"/>
      <c r="C23" s="108"/>
      <c r="D23" s="114"/>
      <c r="E23" s="95"/>
      <c r="F23" s="95"/>
      <c r="G23" s="95"/>
      <c r="H23" s="95"/>
      <c r="I23" s="95"/>
      <c r="J23" s="109"/>
      <c r="K23" s="109"/>
      <c r="L23" s="103"/>
    </row>
    <row r="24" spans="1:12" ht="120.75" thickBot="1">
      <c r="A24" s="84">
        <v>11</v>
      </c>
      <c r="B24" s="60" t="s">
        <v>216</v>
      </c>
      <c r="C24" s="60" t="s">
        <v>105</v>
      </c>
      <c r="D24" s="60" t="s">
        <v>79</v>
      </c>
      <c r="E24" s="41" t="s">
        <v>106</v>
      </c>
      <c r="F24" s="41" t="s">
        <v>107</v>
      </c>
      <c r="G24" s="41" t="s">
        <v>74</v>
      </c>
      <c r="H24" s="41" t="s">
        <v>82</v>
      </c>
      <c r="I24" s="41" t="s">
        <v>108</v>
      </c>
      <c r="J24" s="107"/>
      <c r="K24" s="107"/>
      <c r="L24" s="86" t="s">
        <v>77</v>
      </c>
    </row>
    <row r="25" spans="1:12" ht="165.75" thickBot="1">
      <c r="A25" s="29">
        <v>12</v>
      </c>
      <c r="B25" s="60"/>
      <c r="C25" s="60"/>
      <c r="D25" s="60"/>
      <c r="E25" s="29" t="s">
        <v>109</v>
      </c>
      <c r="F25" s="23" t="s">
        <v>107</v>
      </c>
      <c r="G25" s="24" t="s">
        <v>74</v>
      </c>
      <c r="H25" s="24">
        <v>25212169482</v>
      </c>
      <c r="I25" s="24" t="s">
        <v>110</v>
      </c>
      <c r="J25" s="24"/>
      <c r="K25" s="30"/>
      <c r="L25" s="46" t="s">
        <v>77</v>
      </c>
    </row>
    <row r="26" spans="1:12" ht="150.75" thickBot="1">
      <c r="A26" s="29">
        <v>13</v>
      </c>
      <c r="B26" s="60"/>
      <c r="C26" s="60"/>
      <c r="D26" s="60"/>
      <c r="E26" s="24" t="s">
        <v>111</v>
      </c>
      <c r="F26" s="23" t="s">
        <v>112</v>
      </c>
      <c r="G26" s="24" t="s">
        <v>74</v>
      </c>
      <c r="H26" s="24" t="s">
        <v>263</v>
      </c>
      <c r="I26" s="24" t="s">
        <v>264</v>
      </c>
      <c r="J26" s="31"/>
      <c r="K26" s="30"/>
      <c r="L26" s="46" t="s">
        <v>77</v>
      </c>
    </row>
    <row r="27" spans="1:12" ht="150.75" thickBot="1">
      <c r="A27" s="29">
        <v>14</v>
      </c>
      <c r="B27" s="60"/>
      <c r="C27" s="60"/>
      <c r="D27" s="60"/>
      <c r="E27" s="24" t="s">
        <v>113</v>
      </c>
      <c r="F27" s="23" t="s">
        <v>114</v>
      </c>
      <c r="G27" s="24" t="s">
        <v>100</v>
      </c>
      <c r="H27" s="24" t="s">
        <v>255</v>
      </c>
      <c r="I27" s="24" t="s">
        <v>262</v>
      </c>
      <c r="J27" s="31"/>
      <c r="K27" s="30"/>
      <c r="L27" s="46" t="s">
        <v>101</v>
      </c>
    </row>
    <row r="28" spans="1:12" ht="195.75" thickBot="1">
      <c r="A28" s="29">
        <v>15</v>
      </c>
      <c r="B28" s="60"/>
      <c r="C28" s="60"/>
      <c r="D28" s="60"/>
      <c r="E28" s="24" t="s">
        <v>116</v>
      </c>
      <c r="F28" s="23" t="s">
        <v>114</v>
      </c>
      <c r="G28" s="24" t="s">
        <v>100</v>
      </c>
      <c r="H28" s="24" t="s">
        <v>256</v>
      </c>
      <c r="I28" s="24" t="s">
        <v>261</v>
      </c>
      <c r="J28" s="61"/>
      <c r="K28" s="30"/>
      <c r="L28" s="46" t="s">
        <v>101</v>
      </c>
    </row>
    <row r="29" spans="1:12" ht="150.75" thickBot="1">
      <c r="A29" s="29">
        <v>16</v>
      </c>
      <c r="B29" s="60"/>
      <c r="C29" s="60"/>
      <c r="D29" s="60"/>
      <c r="E29" s="24" t="s">
        <v>118</v>
      </c>
      <c r="F29" s="23" t="s">
        <v>114</v>
      </c>
      <c r="G29" s="24" t="s">
        <v>100</v>
      </c>
      <c r="H29" s="24" t="s">
        <v>257</v>
      </c>
      <c r="I29" s="24" t="s">
        <v>260</v>
      </c>
      <c r="J29" s="24"/>
      <c r="K29" s="30"/>
      <c r="L29" s="46" t="s">
        <v>77</v>
      </c>
    </row>
    <row r="30" spans="1:12" ht="165.75" thickBot="1">
      <c r="A30" s="29">
        <v>17</v>
      </c>
      <c r="B30" s="60"/>
      <c r="C30" s="60"/>
      <c r="D30" s="60"/>
      <c r="E30" s="29" t="s">
        <v>119</v>
      </c>
      <c r="F30" s="23" t="s">
        <v>120</v>
      </c>
      <c r="G30" s="24" t="s">
        <v>74</v>
      </c>
      <c r="H30" s="24" t="s">
        <v>258</v>
      </c>
      <c r="I30" s="24" t="s">
        <v>259</v>
      </c>
      <c r="J30" s="31"/>
      <c r="K30" s="30"/>
      <c r="L30" s="46" t="s">
        <v>77</v>
      </c>
    </row>
    <row r="31" spans="1:12" ht="150.75" thickBot="1">
      <c r="A31" s="29">
        <v>18</v>
      </c>
      <c r="B31" s="60"/>
      <c r="C31" s="60"/>
      <c r="D31" s="60"/>
      <c r="E31" s="32" t="s">
        <v>218</v>
      </c>
      <c r="F31" s="33" t="s">
        <v>120</v>
      </c>
      <c r="G31" s="34" t="s">
        <v>74</v>
      </c>
      <c r="H31" s="34" t="s">
        <v>82</v>
      </c>
      <c r="I31" s="34" t="s">
        <v>121</v>
      </c>
      <c r="J31" s="35"/>
      <c r="K31" s="36"/>
      <c r="L31" s="46" t="s">
        <v>77</v>
      </c>
    </row>
    <row r="32" spans="1:12" ht="135.75" thickBot="1">
      <c r="A32" s="29">
        <v>19</v>
      </c>
      <c r="B32" s="60"/>
      <c r="C32" s="60"/>
      <c r="D32" s="60"/>
      <c r="E32" s="29" t="s">
        <v>122</v>
      </c>
      <c r="F32" s="23" t="s">
        <v>120</v>
      </c>
      <c r="G32" s="24" t="s">
        <v>74</v>
      </c>
      <c r="H32" s="24" t="s">
        <v>82</v>
      </c>
      <c r="I32" s="34" t="s">
        <v>123</v>
      </c>
      <c r="J32" s="31"/>
      <c r="K32" s="30"/>
      <c r="L32" s="46" t="s">
        <v>77</v>
      </c>
    </row>
    <row r="33" spans="1:12" ht="150.75" thickBot="1">
      <c r="A33" s="29">
        <v>20</v>
      </c>
      <c r="B33" s="60"/>
      <c r="C33" s="60"/>
      <c r="D33" s="60"/>
      <c r="E33" s="29" t="s">
        <v>124</v>
      </c>
      <c r="F33" s="23" t="s">
        <v>120</v>
      </c>
      <c r="G33" s="24" t="s">
        <v>74</v>
      </c>
      <c r="H33" s="24" t="s">
        <v>82</v>
      </c>
      <c r="I33" s="34" t="s">
        <v>125</v>
      </c>
      <c r="J33" s="24"/>
      <c r="K33" s="30"/>
      <c r="L33" s="46" t="s">
        <v>77</v>
      </c>
    </row>
    <row r="34" spans="1:12" ht="135.75" thickBot="1">
      <c r="A34" s="29">
        <v>21</v>
      </c>
      <c r="B34" s="60"/>
      <c r="C34" s="60"/>
      <c r="D34" s="60"/>
      <c r="E34" s="29" t="s">
        <v>126</v>
      </c>
      <c r="F34" s="23" t="s">
        <v>120</v>
      </c>
      <c r="G34" s="24" t="s">
        <v>74</v>
      </c>
      <c r="H34" s="37" t="s">
        <v>82</v>
      </c>
      <c r="I34" s="34" t="s">
        <v>127</v>
      </c>
      <c r="J34" s="24"/>
      <c r="K34" s="30"/>
      <c r="L34" s="46" t="s">
        <v>77</v>
      </c>
    </row>
    <row r="35" spans="1:12" ht="135.75" thickBot="1">
      <c r="A35" s="29">
        <v>22</v>
      </c>
      <c r="B35" s="60"/>
      <c r="C35" s="60"/>
      <c r="D35" s="60"/>
      <c r="E35" s="29" t="s">
        <v>128</v>
      </c>
      <c r="F35" s="23" t="s">
        <v>129</v>
      </c>
      <c r="G35" s="38" t="s">
        <v>74</v>
      </c>
      <c r="H35" s="38" t="s">
        <v>82</v>
      </c>
      <c r="I35" s="34" t="s">
        <v>130</v>
      </c>
      <c r="J35" s="31"/>
      <c r="K35" s="30"/>
      <c r="L35" s="46" t="s">
        <v>77</v>
      </c>
    </row>
    <row r="36" spans="1:12" ht="150.75" thickBot="1">
      <c r="A36" s="29">
        <v>23</v>
      </c>
      <c r="B36" s="60"/>
      <c r="C36" s="60"/>
      <c r="D36" s="60"/>
      <c r="E36" s="24" t="s">
        <v>265</v>
      </c>
      <c r="F36" s="23" t="s">
        <v>131</v>
      </c>
      <c r="G36" s="38" t="s">
        <v>74</v>
      </c>
      <c r="H36" s="150" t="s">
        <v>266</v>
      </c>
      <c r="I36" s="39" t="s">
        <v>267</v>
      </c>
      <c r="J36" s="24"/>
      <c r="K36" s="30"/>
      <c r="L36" s="46" t="s">
        <v>77</v>
      </c>
    </row>
    <row r="37" spans="1:12" ht="165.75" thickBot="1">
      <c r="A37" s="29">
        <v>24</v>
      </c>
      <c r="B37" s="60"/>
      <c r="C37" s="60"/>
      <c r="D37" s="60"/>
      <c r="E37" s="32" t="s">
        <v>132</v>
      </c>
      <c r="F37" s="33" t="s">
        <v>133</v>
      </c>
      <c r="G37" s="40" t="s">
        <v>74</v>
      </c>
      <c r="H37" s="150" t="s">
        <v>266</v>
      </c>
      <c r="I37" s="39" t="s">
        <v>268</v>
      </c>
      <c r="J37" s="34"/>
      <c r="K37" s="36"/>
      <c r="L37" s="48" t="s">
        <v>77</v>
      </c>
    </row>
    <row r="38" spans="1:12" ht="135.75" thickBot="1">
      <c r="A38" s="29">
        <v>25</v>
      </c>
      <c r="B38" s="60"/>
      <c r="C38" s="60"/>
      <c r="D38" s="60"/>
      <c r="E38" s="29" t="s">
        <v>134</v>
      </c>
      <c r="F38" s="23" t="s">
        <v>114</v>
      </c>
      <c r="G38" s="38" t="s">
        <v>100</v>
      </c>
      <c r="H38" s="150" t="s">
        <v>269</v>
      </c>
      <c r="I38" s="39" t="s">
        <v>270</v>
      </c>
      <c r="J38" s="61"/>
      <c r="K38" s="24"/>
      <c r="L38" s="46" t="s">
        <v>101</v>
      </c>
    </row>
    <row r="39" spans="1:12" ht="150.75" thickBot="1">
      <c r="A39" s="29">
        <v>26</v>
      </c>
      <c r="B39" s="60"/>
      <c r="C39" s="60"/>
      <c r="D39" s="60"/>
      <c r="E39" s="24" t="s">
        <v>135</v>
      </c>
      <c r="F39" s="23" t="s">
        <v>114</v>
      </c>
      <c r="G39" s="38" t="s">
        <v>136</v>
      </c>
      <c r="H39" s="150" t="s">
        <v>271</v>
      </c>
      <c r="I39" s="39" t="s">
        <v>272</v>
      </c>
      <c r="J39" s="24"/>
      <c r="K39" s="24"/>
      <c r="L39" s="46" t="s">
        <v>77</v>
      </c>
    </row>
    <row r="40" spans="1:12" ht="135.75" thickBot="1">
      <c r="A40" s="29">
        <v>27</v>
      </c>
      <c r="B40" s="60"/>
      <c r="C40" s="60"/>
      <c r="D40" s="60"/>
      <c r="E40" s="24" t="s">
        <v>137</v>
      </c>
      <c r="F40" s="23" t="s">
        <v>114</v>
      </c>
      <c r="G40" s="24" t="s">
        <v>74</v>
      </c>
      <c r="H40" s="41" t="s">
        <v>138</v>
      </c>
      <c r="I40" s="34" t="s">
        <v>139</v>
      </c>
      <c r="J40" s="24"/>
      <c r="K40" s="30"/>
      <c r="L40" s="46" t="s">
        <v>77</v>
      </c>
    </row>
    <row r="41" spans="1:12" ht="135.75" thickBot="1">
      <c r="A41" s="29">
        <v>28</v>
      </c>
      <c r="B41" s="60"/>
      <c r="C41" s="60"/>
      <c r="D41" s="60"/>
      <c r="E41" s="23" t="s">
        <v>140</v>
      </c>
      <c r="F41" s="23" t="s">
        <v>131</v>
      </c>
      <c r="G41" s="24" t="s">
        <v>74</v>
      </c>
      <c r="H41" s="24" t="s">
        <v>141</v>
      </c>
      <c r="I41" s="34" t="s">
        <v>142</v>
      </c>
      <c r="J41" s="24"/>
      <c r="K41" s="24"/>
      <c r="L41" s="46" t="s">
        <v>77</v>
      </c>
    </row>
    <row r="42" spans="1:12" ht="135.75" thickBot="1">
      <c r="A42" s="29">
        <v>29</v>
      </c>
      <c r="B42" s="60"/>
      <c r="C42" s="60"/>
      <c r="D42" s="60"/>
      <c r="E42" s="23" t="s">
        <v>143</v>
      </c>
      <c r="F42" s="23" t="s">
        <v>131</v>
      </c>
      <c r="G42" s="24" t="s">
        <v>74</v>
      </c>
      <c r="H42" s="24" t="s">
        <v>144</v>
      </c>
      <c r="I42" s="34" t="s">
        <v>145</v>
      </c>
      <c r="J42" s="24"/>
      <c r="K42" s="24"/>
      <c r="L42" s="46" t="s">
        <v>77</v>
      </c>
    </row>
    <row r="43" spans="1:12" ht="195.75" thickBot="1">
      <c r="A43" s="29">
        <v>30</v>
      </c>
      <c r="B43" s="60"/>
      <c r="C43" s="60"/>
      <c r="D43" s="60"/>
      <c r="E43" s="23" t="s">
        <v>146</v>
      </c>
      <c r="F43" s="23" t="s">
        <v>147</v>
      </c>
      <c r="G43" s="24" t="s">
        <v>74</v>
      </c>
      <c r="H43" s="24" t="s">
        <v>148</v>
      </c>
      <c r="I43" s="34" t="s">
        <v>149</v>
      </c>
      <c r="J43" s="24"/>
      <c r="K43" s="24"/>
      <c r="L43" s="46" t="s">
        <v>77</v>
      </c>
    </row>
    <row r="44" spans="1:12" ht="135.75" thickBot="1">
      <c r="A44" s="29">
        <v>31</v>
      </c>
      <c r="B44" s="60"/>
      <c r="C44" s="60"/>
      <c r="D44" s="60"/>
      <c r="E44" s="23" t="s">
        <v>150</v>
      </c>
      <c r="F44" s="23" t="s">
        <v>151</v>
      </c>
      <c r="G44" s="24" t="s">
        <v>74</v>
      </c>
      <c r="H44" s="42" t="s">
        <v>273</v>
      </c>
      <c r="I44" s="34" t="s">
        <v>152</v>
      </c>
      <c r="J44" s="24"/>
      <c r="K44" s="24"/>
      <c r="L44" s="46" t="s">
        <v>77</v>
      </c>
    </row>
    <row r="45" spans="1:12" ht="150.75" thickBot="1">
      <c r="A45" s="29">
        <v>32</v>
      </c>
      <c r="B45" s="60"/>
      <c r="C45" s="60"/>
      <c r="D45" s="60"/>
      <c r="E45" s="23" t="s">
        <v>153</v>
      </c>
      <c r="F45" s="23" t="s">
        <v>154</v>
      </c>
      <c r="G45" s="24" t="s">
        <v>74</v>
      </c>
      <c r="H45" s="24">
        <v>668659</v>
      </c>
      <c r="I45" s="34" t="s">
        <v>155</v>
      </c>
      <c r="J45" s="24"/>
      <c r="K45" s="24"/>
      <c r="L45" s="46" t="s">
        <v>77</v>
      </c>
    </row>
    <row r="46" spans="1:12" ht="150.75" thickBot="1">
      <c r="A46" s="74">
        <v>33</v>
      </c>
      <c r="B46" s="60"/>
      <c r="C46" s="60"/>
      <c r="D46" s="60"/>
      <c r="E46" s="87" t="s">
        <v>156</v>
      </c>
      <c r="F46" s="87" t="s">
        <v>157</v>
      </c>
      <c r="G46" s="37" t="s">
        <v>74</v>
      </c>
      <c r="H46" s="37" t="s">
        <v>158</v>
      </c>
      <c r="I46" s="100" t="s">
        <v>159</v>
      </c>
      <c r="J46" s="37"/>
      <c r="K46" s="37"/>
      <c r="L46" s="73" t="s">
        <v>77</v>
      </c>
    </row>
    <row r="47" spans="1:12" ht="15.75" thickBot="1">
      <c r="A47" s="115"/>
      <c r="B47" s="114"/>
      <c r="C47" s="102"/>
      <c r="D47" s="114"/>
      <c r="E47" s="95"/>
      <c r="F47" s="95"/>
      <c r="G47" s="95"/>
      <c r="H47" s="95"/>
      <c r="I47" s="95"/>
      <c r="J47" s="95"/>
      <c r="K47" s="95"/>
      <c r="L47" s="103"/>
    </row>
    <row r="48" spans="1:12" ht="120.75" thickBot="1">
      <c r="A48" s="84">
        <v>34</v>
      </c>
      <c r="B48" s="60" t="s">
        <v>216</v>
      </c>
      <c r="C48" s="65" t="s">
        <v>160</v>
      </c>
      <c r="D48" s="60" t="s">
        <v>79</v>
      </c>
      <c r="E48" s="41" t="s">
        <v>161</v>
      </c>
      <c r="F48" s="41" t="s">
        <v>162</v>
      </c>
      <c r="G48" s="41" t="s">
        <v>163</v>
      </c>
      <c r="H48" s="64" t="s">
        <v>82</v>
      </c>
      <c r="I48" s="41" t="s">
        <v>164</v>
      </c>
      <c r="J48" s="41"/>
      <c r="K48" s="101"/>
      <c r="L48" s="86" t="s">
        <v>77</v>
      </c>
    </row>
    <row r="49" spans="1:12" ht="120.75" thickBot="1">
      <c r="A49" s="29">
        <v>35</v>
      </c>
      <c r="B49" s="60"/>
      <c r="C49" s="25"/>
      <c r="D49" s="60"/>
      <c r="E49" s="22" t="s">
        <v>165</v>
      </c>
      <c r="F49" s="24" t="s">
        <v>166</v>
      </c>
      <c r="G49" s="24" t="s">
        <v>163</v>
      </c>
      <c r="H49" s="24" t="s">
        <v>167</v>
      </c>
      <c r="I49" s="24" t="s">
        <v>168</v>
      </c>
      <c r="J49" s="24"/>
      <c r="K49" s="63"/>
      <c r="L49" s="46" t="s">
        <v>77</v>
      </c>
    </row>
    <row r="50" spans="1:12" ht="120.75" thickBot="1">
      <c r="A50" s="74">
        <v>36</v>
      </c>
      <c r="B50" s="60"/>
      <c r="C50" s="57"/>
      <c r="D50" s="65"/>
      <c r="E50" s="82" t="s">
        <v>169</v>
      </c>
      <c r="F50" s="37" t="s">
        <v>170</v>
      </c>
      <c r="G50" s="37" t="s">
        <v>163</v>
      </c>
      <c r="H50" s="37" t="s">
        <v>171</v>
      </c>
      <c r="I50" s="37" t="s">
        <v>172</v>
      </c>
      <c r="J50" s="37"/>
      <c r="K50" s="83"/>
      <c r="L50" s="73" t="s">
        <v>77</v>
      </c>
    </row>
    <row r="51" spans="1:12" ht="15.75" thickBot="1">
      <c r="A51" s="115"/>
      <c r="B51" s="114"/>
      <c r="C51" s="116"/>
      <c r="D51" s="117"/>
      <c r="E51" s="118"/>
      <c r="F51" s="117"/>
      <c r="G51" s="117"/>
      <c r="H51" s="117"/>
      <c r="I51" s="117"/>
      <c r="J51" s="117"/>
      <c r="K51" s="117"/>
      <c r="L51" s="119"/>
    </row>
    <row r="52" spans="1:12" ht="120.75" thickBot="1">
      <c r="A52" s="84">
        <v>37</v>
      </c>
      <c r="B52" s="60" t="s">
        <v>216</v>
      </c>
      <c r="C52" s="85" t="s">
        <v>173</v>
      </c>
      <c r="D52" s="85" t="s">
        <v>174</v>
      </c>
      <c r="E52" s="41" t="s">
        <v>175</v>
      </c>
      <c r="F52" s="41" t="s">
        <v>176</v>
      </c>
      <c r="G52" s="41" t="s">
        <v>74</v>
      </c>
      <c r="H52" s="41" t="s">
        <v>82</v>
      </c>
      <c r="I52" s="41" t="s">
        <v>177</v>
      </c>
      <c r="J52" s="41"/>
      <c r="K52" s="41"/>
      <c r="L52" s="86" t="s">
        <v>77</v>
      </c>
    </row>
    <row r="53" spans="1:12" ht="150.75" thickBot="1">
      <c r="A53" s="29">
        <v>38</v>
      </c>
      <c r="B53" s="60"/>
      <c r="C53" s="66"/>
      <c r="D53" s="66"/>
      <c r="E53" s="24" t="s">
        <v>178</v>
      </c>
      <c r="F53" s="24" t="s">
        <v>179</v>
      </c>
      <c r="G53" s="24" t="s">
        <v>74</v>
      </c>
      <c r="H53" s="81" t="s">
        <v>180</v>
      </c>
      <c r="I53" s="24" t="s">
        <v>181</v>
      </c>
      <c r="J53" s="24"/>
      <c r="K53" s="30"/>
      <c r="L53" s="46" t="s">
        <v>77</v>
      </c>
    </row>
    <row r="54" spans="1:12" ht="135.75" thickBot="1">
      <c r="A54" s="29">
        <v>39</v>
      </c>
      <c r="B54" s="60"/>
      <c r="C54" s="66"/>
      <c r="D54" s="66"/>
      <c r="E54" s="24" t="s">
        <v>182</v>
      </c>
      <c r="F54" s="24" t="s">
        <v>176</v>
      </c>
      <c r="G54" s="24" t="s">
        <v>74</v>
      </c>
      <c r="H54" s="24" t="s">
        <v>183</v>
      </c>
      <c r="I54" s="24" t="s">
        <v>184</v>
      </c>
      <c r="J54" s="24"/>
      <c r="K54" s="24"/>
      <c r="L54" s="46" t="s">
        <v>77</v>
      </c>
    </row>
    <row r="55" spans="1:12" ht="135.75" thickBot="1">
      <c r="A55" s="29">
        <v>40</v>
      </c>
      <c r="B55" s="60"/>
      <c r="C55" s="66"/>
      <c r="D55" s="66"/>
      <c r="E55" s="24" t="s">
        <v>185</v>
      </c>
      <c r="F55" s="24" t="s">
        <v>186</v>
      </c>
      <c r="G55" s="24" t="s">
        <v>74</v>
      </c>
      <c r="H55" s="24" t="s">
        <v>187</v>
      </c>
      <c r="I55" s="24" t="s">
        <v>188</v>
      </c>
      <c r="J55" s="24"/>
      <c r="K55" s="24"/>
      <c r="L55" s="46" t="s">
        <v>77</v>
      </c>
    </row>
    <row r="56" spans="1:12" ht="135.75" thickBot="1">
      <c r="A56" s="29">
        <v>41</v>
      </c>
      <c r="B56" s="60"/>
      <c r="C56" s="66"/>
      <c r="D56" s="66"/>
      <c r="E56" s="24" t="s">
        <v>189</v>
      </c>
      <c r="F56" s="24" t="s">
        <v>190</v>
      </c>
      <c r="G56" s="24" t="s">
        <v>74</v>
      </c>
      <c r="H56" s="24" t="s">
        <v>82</v>
      </c>
      <c r="I56" s="24" t="s">
        <v>191</v>
      </c>
      <c r="J56" s="24"/>
      <c r="K56" s="24"/>
      <c r="L56" s="46" t="s">
        <v>77</v>
      </c>
    </row>
    <row r="57" spans="1:12" ht="150.75" thickBot="1">
      <c r="A57" s="29">
        <v>42</v>
      </c>
      <c r="B57" s="60"/>
      <c r="C57" s="66"/>
      <c r="D57" s="66"/>
      <c r="E57" s="26" t="s">
        <v>192</v>
      </c>
      <c r="F57" s="24" t="s">
        <v>193</v>
      </c>
      <c r="G57" s="24" t="s">
        <v>194</v>
      </c>
      <c r="H57" s="24" t="s">
        <v>82</v>
      </c>
      <c r="I57" s="24" t="s">
        <v>195</v>
      </c>
      <c r="J57" s="24"/>
      <c r="K57" s="24"/>
      <c r="L57" s="46" t="s">
        <v>77</v>
      </c>
    </row>
    <row r="58" spans="1:12" ht="150.75" thickBot="1">
      <c r="A58" s="29">
        <v>43</v>
      </c>
      <c r="B58" s="60"/>
      <c r="C58" s="66"/>
      <c r="D58" s="66"/>
      <c r="E58" s="24" t="s">
        <v>196</v>
      </c>
      <c r="F58" s="24" t="s">
        <v>197</v>
      </c>
      <c r="G58" s="24" t="s">
        <v>74</v>
      </c>
      <c r="H58" s="24" t="s">
        <v>82</v>
      </c>
      <c r="I58" s="24" t="s">
        <v>198</v>
      </c>
      <c r="J58" s="24"/>
      <c r="K58" s="24"/>
      <c r="L58" s="46" t="s">
        <v>77</v>
      </c>
    </row>
    <row r="59" spans="1:12" ht="180.75" thickBot="1">
      <c r="A59" s="29">
        <v>44</v>
      </c>
      <c r="B59" s="60"/>
      <c r="C59" s="66"/>
      <c r="D59" s="66"/>
      <c r="E59" s="24" t="s">
        <v>199</v>
      </c>
      <c r="F59" s="24" t="s">
        <v>200</v>
      </c>
      <c r="G59" s="24" t="s">
        <v>74</v>
      </c>
      <c r="H59" s="24" t="s">
        <v>82</v>
      </c>
      <c r="I59" s="24" t="s">
        <v>201</v>
      </c>
      <c r="J59" s="24"/>
      <c r="K59" s="24"/>
      <c r="L59" s="46" t="s">
        <v>77</v>
      </c>
    </row>
    <row r="60" spans="1:12" ht="225.75" thickBot="1">
      <c r="A60" s="29">
        <v>45</v>
      </c>
      <c r="B60" s="60"/>
      <c r="C60" s="66"/>
      <c r="D60" s="66"/>
      <c r="E60" s="24" t="s">
        <v>202</v>
      </c>
      <c r="F60" s="24" t="s">
        <v>203</v>
      </c>
      <c r="G60" s="24" t="s">
        <v>74</v>
      </c>
      <c r="H60" s="24" t="s">
        <v>187</v>
      </c>
      <c r="I60" s="24" t="s">
        <v>204</v>
      </c>
      <c r="J60" s="24"/>
      <c r="K60" s="24"/>
      <c r="L60" s="46" t="s">
        <v>77</v>
      </c>
    </row>
    <row r="61" spans="1:12" ht="210.75" thickBot="1">
      <c r="A61" s="29">
        <v>46</v>
      </c>
      <c r="B61" s="60"/>
      <c r="C61" s="66"/>
      <c r="D61" s="66"/>
      <c r="E61" s="24" t="s">
        <v>205</v>
      </c>
      <c r="F61" s="24" t="s">
        <v>206</v>
      </c>
      <c r="G61" s="24" t="s">
        <v>207</v>
      </c>
      <c r="H61" s="24" t="s">
        <v>187</v>
      </c>
      <c r="I61" s="24" t="s">
        <v>208</v>
      </c>
      <c r="J61" s="24"/>
      <c r="K61" s="24"/>
      <c r="L61" s="46" t="s">
        <v>77</v>
      </c>
    </row>
    <row r="62" spans="1:12" ht="225.75" thickBot="1">
      <c r="A62" s="29">
        <v>47</v>
      </c>
      <c r="B62" s="60"/>
      <c r="C62" s="66"/>
      <c r="D62" s="66"/>
      <c r="E62" s="29" t="s">
        <v>209</v>
      </c>
      <c r="F62" s="24" t="s">
        <v>210</v>
      </c>
      <c r="G62" s="24" t="s">
        <v>74</v>
      </c>
      <c r="H62" s="24" t="s">
        <v>187</v>
      </c>
      <c r="I62" s="24" t="s">
        <v>211</v>
      </c>
      <c r="J62" s="24"/>
      <c r="K62" s="24"/>
      <c r="L62" s="46" t="s">
        <v>77</v>
      </c>
    </row>
    <row r="63" spans="1:12" ht="240.75" thickBot="1">
      <c r="A63" s="29">
        <v>48</v>
      </c>
      <c r="B63" s="65"/>
      <c r="C63" s="66"/>
      <c r="D63" s="66"/>
      <c r="E63" s="24" t="s">
        <v>212</v>
      </c>
      <c r="F63" s="24" t="s">
        <v>213</v>
      </c>
      <c r="G63" s="24" t="s">
        <v>74</v>
      </c>
      <c r="H63" s="24" t="s">
        <v>82</v>
      </c>
      <c r="I63" s="24" t="s">
        <v>214</v>
      </c>
      <c r="J63" s="24"/>
      <c r="K63" s="24"/>
      <c r="L63" s="46" t="s">
        <v>77</v>
      </c>
    </row>
    <row r="64" spans="1:12">
      <c r="A64" s="75"/>
      <c r="B64" s="76"/>
      <c r="C64" s="77"/>
      <c r="D64" s="78"/>
      <c r="E64" s="79"/>
      <c r="F64" s="80"/>
      <c r="G64" s="80"/>
      <c r="H64" s="80"/>
      <c r="I64" s="80"/>
      <c r="J64" s="80"/>
      <c r="K64" s="80"/>
      <c r="L64" s="78"/>
    </row>
    <row r="65" spans="1:12" ht="15.75" customHeight="1">
      <c r="A65" s="67"/>
      <c r="B65" s="72"/>
      <c r="C65" s="69"/>
      <c r="D65" s="53" t="s">
        <v>215</v>
      </c>
      <c r="E65" s="49"/>
      <c r="F65" s="49"/>
      <c r="G65" s="49"/>
      <c r="H65" s="49"/>
      <c r="I65" s="49"/>
      <c r="J65" s="49"/>
      <c r="K65" s="49"/>
      <c r="L65" s="50"/>
    </row>
    <row r="66" spans="1:12">
      <c r="A66" s="67"/>
      <c r="B66" s="72"/>
      <c r="C66" s="69"/>
      <c r="D66" s="53"/>
      <c r="E66" s="49"/>
      <c r="F66" s="70"/>
      <c r="G66" s="49"/>
      <c r="H66" s="49"/>
      <c r="I66" s="50"/>
      <c r="J66" s="49"/>
      <c r="K66" s="49"/>
      <c r="L66" s="50"/>
    </row>
    <row r="67" spans="1:12">
      <c r="A67" s="67"/>
      <c r="B67" s="72"/>
      <c r="C67" s="69"/>
      <c r="D67" s="53"/>
      <c r="E67" s="49"/>
      <c r="F67" s="70"/>
      <c r="G67" s="49"/>
      <c r="H67" s="49"/>
      <c r="I67" s="49"/>
      <c r="J67" s="49"/>
      <c r="K67" s="51"/>
      <c r="L67" s="50"/>
    </row>
    <row r="68" spans="1:12">
      <c r="A68" s="67"/>
      <c r="B68" s="72"/>
      <c r="C68" s="69"/>
      <c r="D68" s="53"/>
      <c r="E68" s="49"/>
      <c r="F68" s="70"/>
      <c r="G68" s="49"/>
      <c r="H68" s="49"/>
      <c r="I68" s="49"/>
      <c r="J68" s="49"/>
      <c r="K68" s="51"/>
      <c r="L68" s="50"/>
    </row>
    <row r="69" spans="1:12">
      <c r="A69" s="67"/>
      <c r="B69" s="53"/>
      <c r="C69" s="69"/>
      <c r="D69" s="50"/>
      <c r="E69" s="52"/>
      <c r="F69" s="49"/>
      <c r="G69" s="49"/>
      <c r="H69" s="49"/>
      <c r="I69" s="49"/>
      <c r="J69" s="49"/>
      <c r="K69" s="51"/>
      <c r="L69" s="68"/>
    </row>
  </sheetData>
  <mergeCells count="19">
    <mergeCell ref="B14:B22"/>
    <mergeCell ref="B24:B46"/>
    <mergeCell ref="B48:B50"/>
    <mergeCell ref="B52:B63"/>
    <mergeCell ref="D14:D22"/>
    <mergeCell ref="D24:D46"/>
    <mergeCell ref="D48:D50"/>
    <mergeCell ref="J1:K1"/>
    <mergeCell ref="C14:C22"/>
    <mergeCell ref="C24:C46"/>
    <mergeCell ref="C48:C50"/>
    <mergeCell ref="C52:C63"/>
    <mergeCell ref="D52:D63"/>
    <mergeCell ref="A1:B1"/>
    <mergeCell ref="A2:B2"/>
    <mergeCell ref="A3:B3"/>
    <mergeCell ref="A4:B4"/>
    <mergeCell ref="A5:B5"/>
    <mergeCell ref="C5:G5"/>
  </mergeCells>
  <conditionalFormatting sqref="L12 L52:L68 I66">
    <cfRule type="cellIs" dxfId="7" priority="9" operator="equal">
      <formula>"Passed"</formula>
    </cfRule>
    <cfRule type="cellIs" dxfId="6" priority="10" operator="equal">
      <formula>"Failed"</formula>
    </cfRule>
    <cfRule type="cellIs" dxfId="5" priority="11" operator="equal">
      <formula>"Not Executed"</formula>
    </cfRule>
    <cfRule type="cellIs" dxfId="4" priority="12" operator="equal">
      <formula>"Out of Scope"</formula>
    </cfRule>
  </conditionalFormatting>
  <conditionalFormatting sqref="L14:L50">
    <cfRule type="cellIs" dxfId="3" priority="5" operator="equal">
      <formula>"Passed"</formula>
    </cfRule>
    <cfRule type="cellIs" dxfId="2" priority="6" operator="equal">
      <formula>"Failed"</formula>
    </cfRule>
    <cfRule type="cellIs" dxfId="1" priority="7" operator="equal">
      <formula>"Not Executed"</formula>
    </cfRule>
    <cfRule type="cellIs" dxfId="0" priority="8" operator="equal">
      <formula>"Out of Scope"</formula>
    </cfRule>
  </conditionalFormatting>
  <dataValidations count="1">
    <dataValidation type="list" allowBlank="1" sqref="L12 L14:L50 I66 L52:L68" xr:uid="{97766A2F-9334-4313-BE53-FC5F7F20F7C5}">
      <formula1>"Passed,Failed,Not Executed,Out of Scope"</formula1>
      <formula2>0</formula2>
    </dataValidation>
  </dataValidations>
  <hyperlinks>
    <hyperlink ref="C1" r:id="rId1" xr:uid="{2621CC14-1DF2-44A7-A7CF-B0FBA7011366}"/>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D2BB-7E2D-4B17-9A35-0D247F9CA7BC}">
  <dimension ref="B2:H12"/>
  <sheetViews>
    <sheetView tabSelected="1" workbookViewId="0">
      <selection activeCell="I9" sqref="I9"/>
    </sheetView>
  </sheetViews>
  <sheetFormatPr defaultRowHeight="15"/>
  <cols>
    <col min="2" max="2" width="50.7109375" customWidth="1"/>
    <col min="4" max="4" width="53.85546875" customWidth="1"/>
  </cols>
  <sheetData>
    <row r="2" spans="2:8" ht="15.75" thickBot="1"/>
    <row r="3" spans="2:8" ht="40.5" customHeight="1" thickBot="1">
      <c r="B3" s="175" t="s">
        <v>325</v>
      </c>
      <c r="D3" s="177" t="s">
        <v>325</v>
      </c>
    </row>
    <row r="4" spans="2:8" ht="30" customHeight="1">
      <c r="B4" s="171" t="s">
        <v>326</v>
      </c>
      <c r="C4" s="13"/>
      <c r="D4" s="179" t="s">
        <v>327</v>
      </c>
    </row>
    <row r="5" spans="2:8" ht="30" customHeight="1">
      <c r="B5" s="171" t="s">
        <v>335</v>
      </c>
      <c r="C5" s="13"/>
      <c r="D5" s="176" t="s">
        <v>336</v>
      </c>
    </row>
    <row r="6" spans="2:8" ht="21" customHeight="1">
      <c r="B6" s="172" t="s">
        <v>328</v>
      </c>
      <c r="C6" s="170"/>
      <c r="D6" s="172" t="s">
        <v>328</v>
      </c>
    </row>
    <row r="7" spans="2:8" ht="78.75" customHeight="1">
      <c r="B7" s="173" t="s">
        <v>115</v>
      </c>
      <c r="C7" s="13"/>
      <c r="D7" s="173" t="s">
        <v>117</v>
      </c>
      <c r="H7" t="s">
        <v>334</v>
      </c>
    </row>
    <row r="8" spans="2:8" ht="30" customHeight="1">
      <c r="B8" s="172" t="s">
        <v>331</v>
      </c>
      <c r="C8" s="13"/>
      <c r="D8" s="172" t="s">
        <v>331</v>
      </c>
    </row>
    <row r="9" spans="2:8" ht="30" customHeight="1">
      <c r="B9" s="174" t="s">
        <v>332</v>
      </c>
      <c r="C9" s="13"/>
      <c r="D9" s="174" t="s">
        <v>332</v>
      </c>
    </row>
    <row r="10" spans="2:8" ht="30" customHeight="1">
      <c r="B10" s="174" t="s">
        <v>333</v>
      </c>
      <c r="C10" s="13"/>
      <c r="D10" s="174" t="s">
        <v>333</v>
      </c>
    </row>
    <row r="11" spans="2:8" ht="30" customHeight="1">
      <c r="B11" s="178" t="s">
        <v>329</v>
      </c>
      <c r="C11" s="13"/>
      <c r="D11" s="178" t="s">
        <v>330</v>
      </c>
    </row>
    <row r="12" spans="2:8" ht="15.75" thickBot="1">
      <c r="B12" s="180" t="s">
        <v>337</v>
      </c>
      <c r="D12" s="180" t="s">
        <v>337</v>
      </c>
    </row>
  </sheetData>
  <hyperlinks>
    <hyperlink ref="B11" r:id="rId1" xr:uid="{6FBC85C8-A48B-4BE8-B231-7761F8442647}"/>
    <hyperlink ref="D11" r:id="rId2" display="Screenshot: Number value in name field" xr:uid="{0D30CA35-59F5-4483-B79D-F6D79931B0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3094-661C-495E-B728-A0A4473B6430}">
  <dimension ref="C1:O51"/>
  <sheetViews>
    <sheetView workbookViewId="0">
      <selection activeCell="R27" sqref="R27"/>
    </sheetView>
  </sheetViews>
  <sheetFormatPr defaultRowHeight="15"/>
  <cols>
    <col min="1" max="2" width="9.140625" style="62"/>
    <col min="3" max="3" width="18.5703125" style="62" bestFit="1" customWidth="1"/>
    <col min="4" max="4" width="28.7109375" style="62" bestFit="1" customWidth="1"/>
    <col min="5" max="5" width="5" style="62" bestFit="1" customWidth="1"/>
    <col min="6" max="6" width="13.140625" style="62" customWidth="1"/>
    <col min="7" max="7" width="9.140625" style="62"/>
    <col min="8" max="8" width="8.85546875" style="62" bestFit="1" customWidth="1"/>
    <col min="9" max="9" width="9.140625" style="62"/>
    <col min="10" max="10" width="18.5703125" style="62" bestFit="1" customWidth="1"/>
    <col min="11" max="11" width="28.7109375" style="62" bestFit="1" customWidth="1"/>
    <col min="12" max="16384" width="9.140625" style="62"/>
  </cols>
  <sheetData>
    <row r="1" spans="3:15" ht="32.25" thickBot="1">
      <c r="C1" s="123" t="s">
        <v>219</v>
      </c>
      <c r="D1" s="123"/>
      <c r="E1" s="123"/>
      <c r="F1" s="123"/>
      <c r="G1" s="123"/>
      <c r="H1" s="123"/>
      <c r="J1" s="148"/>
      <c r="K1" s="149" t="s">
        <v>236</v>
      </c>
      <c r="L1" s="148" t="s">
        <v>237</v>
      </c>
      <c r="M1" s="148"/>
      <c r="N1" s="148"/>
      <c r="O1" s="148"/>
    </row>
    <row r="2" spans="3:15" ht="15.75" thickBot="1">
      <c r="C2" s="124" t="s">
        <v>220</v>
      </c>
      <c r="D2" s="136" t="s">
        <v>36</v>
      </c>
      <c r="E2" s="136"/>
      <c r="F2" s="136"/>
      <c r="G2" s="136"/>
      <c r="H2" s="136"/>
      <c r="J2" s="148"/>
      <c r="K2" s="148"/>
      <c r="L2" s="148"/>
      <c r="M2" s="148"/>
      <c r="N2" s="148"/>
      <c r="O2" s="148"/>
    </row>
    <row r="3" spans="3:15" ht="15.75" thickBot="1">
      <c r="C3" s="125" t="s">
        <v>221</v>
      </c>
      <c r="D3" s="136" t="s">
        <v>40</v>
      </c>
      <c r="E3" s="136"/>
      <c r="F3" s="136"/>
      <c r="G3" s="136"/>
      <c r="H3" s="136"/>
      <c r="J3" s="148"/>
      <c r="K3" s="148"/>
      <c r="L3" s="148"/>
      <c r="M3" s="148"/>
      <c r="N3" s="148"/>
      <c r="O3" s="148"/>
    </row>
    <row r="4" spans="3:15" ht="15.75" thickBot="1">
      <c r="C4" s="124" t="s">
        <v>222</v>
      </c>
      <c r="D4" s="136"/>
      <c r="E4" s="136"/>
      <c r="F4" s="136"/>
      <c r="G4" s="136"/>
      <c r="H4" s="136"/>
      <c r="J4" s="148"/>
      <c r="K4" s="148"/>
      <c r="L4" s="148"/>
      <c r="M4" s="148"/>
      <c r="N4" s="148"/>
      <c r="O4" s="148"/>
    </row>
    <row r="5" spans="3:15" ht="15.75" thickBot="1">
      <c r="C5" s="124" t="s">
        <v>223</v>
      </c>
      <c r="D5" s="136" t="s">
        <v>51</v>
      </c>
      <c r="E5" s="136"/>
      <c r="F5" s="136"/>
      <c r="G5" s="136"/>
      <c r="H5" s="136"/>
      <c r="J5" s="122" t="s">
        <v>238</v>
      </c>
      <c r="K5" s="120" t="s">
        <v>105</v>
      </c>
      <c r="L5" s="121" t="s">
        <v>239</v>
      </c>
      <c r="M5" s="121"/>
      <c r="N5" s="121"/>
      <c r="O5" s="121"/>
    </row>
    <row r="6" spans="3:15" ht="15.75" thickBot="1">
      <c r="C6" s="124" t="s">
        <v>224</v>
      </c>
      <c r="D6" s="136" t="s">
        <v>51</v>
      </c>
      <c r="E6" s="136"/>
      <c r="F6" s="136"/>
      <c r="G6" s="136"/>
      <c r="H6" s="136"/>
      <c r="J6" s="122"/>
      <c r="K6" s="122"/>
      <c r="L6" s="121"/>
      <c r="M6" s="121"/>
      <c r="N6" s="121"/>
      <c r="O6" s="121"/>
    </row>
    <row r="7" spans="3:15" ht="15.75" thickBot="1">
      <c r="C7" s="124" t="s">
        <v>225</v>
      </c>
      <c r="D7" s="136"/>
      <c r="E7" s="136"/>
      <c r="F7" s="136"/>
      <c r="G7" s="136"/>
      <c r="H7" s="136"/>
      <c r="J7" s="122"/>
      <c r="K7" s="122"/>
      <c r="L7" s="121"/>
      <c r="M7" s="121"/>
      <c r="N7" s="121"/>
      <c r="O7" s="121"/>
    </row>
    <row r="8" spans="3:15" ht="15.75" thickBot="1">
      <c r="C8" s="137" t="s">
        <v>226</v>
      </c>
      <c r="D8" s="137"/>
      <c r="E8" s="137"/>
      <c r="F8" s="137"/>
      <c r="G8" s="137"/>
      <c r="H8" s="137"/>
      <c r="J8" s="122"/>
      <c r="K8" s="122"/>
      <c r="L8" s="121"/>
      <c r="M8" s="121"/>
      <c r="N8" s="121"/>
      <c r="O8" s="121"/>
    </row>
    <row r="9" spans="3:15" ht="15.75" thickBot="1">
      <c r="C9" s="137"/>
      <c r="D9" s="137"/>
      <c r="E9" s="137"/>
      <c r="F9" s="137"/>
      <c r="G9" s="137"/>
      <c r="H9" s="137"/>
      <c r="J9" s="122" t="s">
        <v>238</v>
      </c>
      <c r="K9" s="120" t="s">
        <v>240</v>
      </c>
      <c r="L9" s="121" t="s">
        <v>241</v>
      </c>
      <c r="M9" s="121"/>
      <c r="N9" s="121"/>
      <c r="O9" s="121"/>
    </row>
    <row r="10" spans="3:15" ht="32.25" thickBot="1">
      <c r="C10" s="147" t="s">
        <v>227</v>
      </c>
      <c r="D10" s="144" t="s">
        <v>53</v>
      </c>
      <c r="E10" s="144" t="s">
        <v>54</v>
      </c>
      <c r="F10" s="144" t="s">
        <v>55</v>
      </c>
      <c r="G10" s="144" t="s">
        <v>228</v>
      </c>
      <c r="H10" s="145" t="s">
        <v>229</v>
      </c>
      <c r="J10" s="122"/>
      <c r="K10" s="122"/>
      <c r="L10" s="121"/>
      <c r="M10" s="121"/>
      <c r="N10" s="121"/>
      <c r="O10" s="121"/>
    </row>
    <row r="11" spans="3:15" ht="15.75" thickBot="1">
      <c r="C11" s="147"/>
      <c r="D11" s="146">
        <f>'Test Case'!K2</f>
        <v>45</v>
      </c>
      <c r="E11" s="140">
        <f>'Test Case'!K3</f>
        <v>3</v>
      </c>
      <c r="F11" s="141">
        <f>'Test Case'!K4</f>
        <v>0</v>
      </c>
      <c r="G11" s="142">
        <f>'Test Case'!K5</f>
        <v>0</v>
      </c>
      <c r="H11" s="143">
        <f>'Test Case'!K6</f>
        <v>48</v>
      </c>
      <c r="J11" s="122"/>
      <c r="K11" s="122"/>
      <c r="L11" s="121"/>
      <c r="M11" s="121"/>
      <c r="N11" s="121"/>
      <c r="O11" s="121"/>
    </row>
    <row r="12" spans="3:15" ht="19.5" thickBot="1">
      <c r="C12" s="138"/>
      <c r="D12" s="138"/>
      <c r="E12" s="139"/>
      <c r="F12" s="138"/>
      <c r="G12" s="138"/>
      <c r="H12" s="138"/>
      <c r="J12" s="122"/>
      <c r="K12" s="122"/>
      <c r="L12" s="121"/>
      <c r="M12" s="121"/>
      <c r="N12" s="121"/>
      <c r="O12" s="121"/>
    </row>
    <row r="13" spans="3:15" ht="15.75" thickBot="1">
      <c r="C13" s="126"/>
      <c r="D13" s="126"/>
      <c r="E13" s="126"/>
      <c r="F13" s="126"/>
      <c r="G13" s="126"/>
      <c r="H13" s="126"/>
      <c r="J13" s="122" t="s">
        <v>238</v>
      </c>
      <c r="K13" s="120" t="s">
        <v>242</v>
      </c>
      <c r="L13" s="121" t="s">
        <v>243</v>
      </c>
      <c r="M13" s="121"/>
      <c r="N13" s="121"/>
      <c r="O13" s="121"/>
    </row>
    <row r="14" spans="3:15" ht="15.75" thickBot="1">
      <c r="C14" s="126"/>
      <c r="D14" s="126"/>
      <c r="E14" s="126"/>
      <c r="F14" s="126"/>
      <c r="G14" s="126"/>
      <c r="H14" s="126"/>
      <c r="J14" s="122"/>
      <c r="K14" s="122"/>
      <c r="L14" s="121"/>
      <c r="M14" s="121"/>
      <c r="N14" s="121"/>
      <c r="O14" s="121"/>
    </row>
    <row r="15" spans="3:15" ht="15.75" thickBot="1">
      <c r="J15" s="122"/>
      <c r="K15" s="122"/>
      <c r="L15" s="121"/>
      <c r="M15" s="121"/>
      <c r="N15" s="121"/>
      <c r="O15" s="121"/>
    </row>
    <row r="16" spans="3:15" ht="15.75" thickBot="1">
      <c r="J16" s="122"/>
      <c r="K16" s="122"/>
      <c r="L16" s="121"/>
      <c r="M16" s="121"/>
      <c r="N16" s="121"/>
      <c r="O16" s="121"/>
    </row>
    <row r="17" spans="3:15" ht="15.75" thickBot="1">
      <c r="J17" s="122" t="s">
        <v>238</v>
      </c>
      <c r="K17" s="120" t="s">
        <v>160</v>
      </c>
      <c r="L17" s="121" t="s">
        <v>244</v>
      </c>
      <c r="M17" s="121"/>
      <c r="N17" s="121"/>
      <c r="O17" s="121"/>
    </row>
    <row r="18" spans="3:15" ht="15.75" thickBot="1">
      <c r="J18" s="122"/>
      <c r="K18" s="122"/>
      <c r="L18" s="121"/>
      <c r="M18" s="121"/>
      <c r="N18" s="121"/>
      <c r="O18" s="121"/>
    </row>
    <row r="19" spans="3:15" ht="15.75" thickBot="1">
      <c r="J19" s="122"/>
      <c r="K19" s="122"/>
      <c r="L19" s="121"/>
      <c r="M19" s="121"/>
      <c r="N19" s="121"/>
      <c r="O19" s="121"/>
    </row>
    <row r="20" spans="3:15" ht="15.75" thickBot="1">
      <c r="J20" s="122"/>
      <c r="K20" s="122"/>
      <c r="L20" s="121"/>
      <c r="M20" s="121"/>
      <c r="N20" s="121"/>
      <c r="O20" s="121"/>
    </row>
    <row r="21" spans="3:15" ht="15.75" thickBot="1">
      <c r="J21" s="122" t="s">
        <v>238</v>
      </c>
      <c r="K21" s="122" t="s">
        <v>245</v>
      </c>
      <c r="L21" s="121" t="s">
        <v>246</v>
      </c>
      <c r="M21" s="121"/>
      <c r="N21" s="121"/>
      <c r="O21" s="121"/>
    </row>
    <row r="22" spans="3:15" ht="15.75" thickBot="1">
      <c r="J22" s="122"/>
      <c r="K22" s="122"/>
      <c r="L22" s="121"/>
      <c r="M22" s="121"/>
      <c r="N22" s="121"/>
      <c r="O22" s="121"/>
    </row>
    <row r="23" spans="3:15" ht="15.75" thickBot="1">
      <c r="J23" s="122"/>
      <c r="K23" s="122"/>
      <c r="L23" s="121"/>
      <c r="M23" s="121"/>
      <c r="N23" s="121"/>
      <c r="O23" s="121"/>
    </row>
    <row r="24" spans="3:15" ht="15.75" thickBot="1">
      <c r="J24" s="122"/>
      <c r="K24" s="122"/>
      <c r="L24" s="121"/>
      <c r="M24" s="121"/>
      <c r="N24" s="121"/>
      <c r="O24" s="121"/>
    </row>
    <row r="25" spans="3:15" ht="15.75" thickBot="1">
      <c r="J25" s="122" t="s">
        <v>238</v>
      </c>
      <c r="K25" s="122" t="s">
        <v>247</v>
      </c>
      <c r="L25" s="121" t="s">
        <v>248</v>
      </c>
      <c r="M25" s="121"/>
      <c r="N25" s="121"/>
      <c r="O25" s="121"/>
    </row>
    <row r="26" spans="3:15" ht="15.75" thickBot="1">
      <c r="J26" s="122"/>
      <c r="K26" s="122"/>
      <c r="L26" s="121"/>
      <c r="M26" s="121"/>
      <c r="N26" s="121"/>
      <c r="O26" s="121"/>
    </row>
    <row r="27" spans="3:15" ht="15.75" thickBot="1">
      <c r="J27" s="122"/>
      <c r="K27" s="122"/>
      <c r="L27" s="121"/>
      <c r="M27" s="121"/>
      <c r="N27" s="121"/>
      <c r="O27" s="121"/>
    </row>
    <row r="28" spans="3:15" ht="15.75" thickBot="1">
      <c r="J28" s="122"/>
      <c r="K28" s="122"/>
      <c r="L28" s="121"/>
      <c r="M28" s="121"/>
      <c r="N28" s="121"/>
      <c r="O28" s="121"/>
    </row>
    <row r="29" spans="3:15" ht="27" customHeight="1" thickBot="1">
      <c r="C29" s="135" t="s">
        <v>230</v>
      </c>
      <c r="D29" s="135"/>
      <c r="E29" s="135"/>
      <c r="F29" s="135"/>
      <c r="G29" s="135"/>
      <c r="H29" s="135"/>
      <c r="J29" s="122" t="s">
        <v>238</v>
      </c>
      <c r="K29" s="122" t="s">
        <v>249</v>
      </c>
      <c r="L29" s="161" t="s">
        <v>250</v>
      </c>
      <c r="M29" s="162"/>
      <c r="N29" s="162"/>
      <c r="O29" s="163"/>
    </row>
    <row r="30" spans="3:15" ht="27" customHeight="1" thickBot="1">
      <c r="C30" s="132" t="s">
        <v>231</v>
      </c>
      <c r="D30" s="133"/>
      <c r="E30" s="133"/>
      <c r="F30" s="134"/>
      <c r="G30" s="127" t="s">
        <v>232</v>
      </c>
      <c r="H30" s="127" t="s">
        <v>233</v>
      </c>
      <c r="J30" s="122"/>
      <c r="K30" s="122"/>
      <c r="L30" s="164"/>
      <c r="M30" s="165"/>
      <c r="N30" s="165"/>
      <c r="O30" s="166"/>
    </row>
    <row r="31" spans="3:15" ht="27" customHeight="1" thickBot="1">
      <c r="C31" s="129" t="s">
        <v>234</v>
      </c>
      <c r="D31" s="130"/>
      <c r="E31" s="130"/>
      <c r="F31" s="131"/>
      <c r="G31" s="128" t="s">
        <v>49</v>
      </c>
      <c r="H31" s="128" t="s">
        <v>49</v>
      </c>
      <c r="J31" s="122"/>
      <c r="K31" s="122"/>
      <c r="L31" s="164"/>
      <c r="M31" s="165"/>
      <c r="N31" s="165"/>
      <c r="O31" s="166"/>
    </row>
    <row r="32" spans="3:15" ht="27" customHeight="1" thickBot="1">
      <c r="C32" s="129" t="s">
        <v>235</v>
      </c>
      <c r="D32" s="130"/>
      <c r="E32" s="130"/>
      <c r="F32" s="131"/>
      <c r="G32" s="128" t="s">
        <v>49</v>
      </c>
      <c r="H32" s="128" t="s">
        <v>49</v>
      </c>
      <c r="J32" s="122"/>
      <c r="K32" s="122"/>
      <c r="L32" s="167"/>
      <c r="M32" s="168"/>
      <c r="N32" s="168"/>
      <c r="O32" s="169"/>
    </row>
    <row r="43" ht="55.5" customHeight="1"/>
    <row r="51" ht="67.5" customHeight="1"/>
  </sheetData>
  <mergeCells count="37">
    <mergeCell ref="C10:C11"/>
    <mergeCell ref="J25:J28"/>
    <mergeCell ref="K25:K28"/>
    <mergeCell ref="L25:O28"/>
    <mergeCell ref="J29:J32"/>
    <mergeCell ref="K29:K32"/>
    <mergeCell ref="L29:O32"/>
    <mergeCell ref="J17:J20"/>
    <mergeCell ref="K17:K20"/>
    <mergeCell ref="L17:O20"/>
    <mergeCell ref="J21:J24"/>
    <mergeCell ref="K21:K24"/>
    <mergeCell ref="L21:O24"/>
    <mergeCell ref="J9:J12"/>
    <mergeCell ref="K9:K12"/>
    <mergeCell ref="L9:O12"/>
    <mergeCell ref="J13:J16"/>
    <mergeCell ref="K13:K16"/>
    <mergeCell ref="L13:O16"/>
    <mergeCell ref="J1:J4"/>
    <mergeCell ref="K1:K4"/>
    <mergeCell ref="L1:O4"/>
    <mergeCell ref="J5:J8"/>
    <mergeCell ref="K5:K8"/>
    <mergeCell ref="L5:O8"/>
    <mergeCell ref="D7:H7"/>
    <mergeCell ref="C8:H9"/>
    <mergeCell ref="C29:H29"/>
    <mergeCell ref="C30:F30"/>
    <mergeCell ref="C31:F31"/>
    <mergeCell ref="C32:F32"/>
    <mergeCell ref="C1:H1"/>
    <mergeCell ref="D2:H2"/>
    <mergeCell ref="D3:H3"/>
    <mergeCell ref="D4:H4"/>
    <mergeCell ref="D5:H5"/>
    <mergeCell ref="D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84C4-A6DA-4A2B-9A50-8A0AF35849B6}">
  <dimension ref="C2:J16"/>
  <sheetViews>
    <sheetView workbookViewId="0">
      <selection activeCell="L18" sqref="L18"/>
    </sheetView>
  </sheetViews>
  <sheetFormatPr defaultRowHeight="15"/>
  <cols>
    <col min="3" max="3" width="10.7109375" bestFit="1" customWidth="1"/>
    <col min="4" max="4" width="36" bestFit="1" customWidth="1"/>
    <col min="5" max="5" width="64.7109375" bestFit="1" customWidth="1"/>
    <col min="6" max="6" width="18" bestFit="1" customWidth="1"/>
    <col min="9" max="10" width="14.5703125" customWidth="1"/>
  </cols>
  <sheetData>
    <row r="2" spans="3:10" ht="15.75" thickBot="1"/>
    <row r="3" spans="3:10" ht="39.75" customHeight="1" thickBot="1">
      <c r="C3" s="151" t="s">
        <v>274</v>
      </c>
      <c r="D3" s="151"/>
      <c r="E3" s="151"/>
      <c r="F3" s="151"/>
      <c r="I3" s="155" t="s">
        <v>52</v>
      </c>
      <c r="J3" s="155"/>
    </row>
    <row r="4" spans="3:10" ht="32.25" customHeight="1" thickBot="1">
      <c r="C4" s="151"/>
      <c r="D4" s="151"/>
      <c r="E4" s="151"/>
      <c r="F4" s="151"/>
      <c r="I4" s="15" t="s">
        <v>53</v>
      </c>
      <c r="J4" s="111">
        <f>'Test Case'!K2</f>
        <v>45</v>
      </c>
    </row>
    <row r="5" spans="3:10" ht="48.75" customHeight="1" thickBot="1">
      <c r="C5" s="152" t="s">
        <v>59</v>
      </c>
      <c r="D5" s="153" t="s">
        <v>275</v>
      </c>
      <c r="E5" s="153" t="s">
        <v>237</v>
      </c>
      <c r="F5" s="153" t="s">
        <v>276</v>
      </c>
      <c r="I5" s="16" t="s">
        <v>54</v>
      </c>
      <c r="J5" s="111">
        <f>'Test Case'!K3</f>
        <v>3</v>
      </c>
    </row>
    <row r="6" spans="3:10" ht="30" customHeight="1" thickBot="1">
      <c r="C6" s="29">
        <v>1</v>
      </c>
      <c r="D6" s="154" t="s">
        <v>277</v>
      </c>
      <c r="E6" s="29" t="s">
        <v>278</v>
      </c>
      <c r="F6" s="29" t="s">
        <v>304</v>
      </c>
      <c r="I6" s="17" t="s">
        <v>55</v>
      </c>
      <c r="J6" s="111">
        <f>'Test Case'!K4</f>
        <v>0</v>
      </c>
    </row>
    <row r="7" spans="3:10" ht="30.75" customHeight="1" thickBot="1">
      <c r="C7" s="29">
        <v>2</v>
      </c>
      <c r="D7" s="154" t="s">
        <v>279</v>
      </c>
      <c r="E7" s="29" t="s">
        <v>280</v>
      </c>
      <c r="F7" s="29" t="s">
        <v>305</v>
      </c>
      <c r="I7" s="18" t="s">
        <v>56</v>
      </c>
      <c r="J7" s="156">
        <f>'Test Case'!K5</f>
        <v>0</v>
      </c>
    </row>
    <row r="8" spans="3:10" ht="33" customHeight="1" thickBot="1">
      <c r="C8" s="29">
        <v>3</v>
      </c>
      <c r="D8" s="154" t="s">
        <v>281</v>
      </c>
      <c r="E8" s="29" t="s">
        <v>282</v>
      </c>
      <c r="F8" s="29" t="s">
        <v>306</v>
      </c>
      <c r="I8" s="19" t="s">
        <v>57</v>
      </c>
      <c r="J8" s="111">
        <f>SUM(J4:J7)</f>
        <v>48</v>
      </c>
    </row>
    <row r="9" spans="3:10" ht="29.25" customHeight="1" thickBot="1">
      <c r="C9" s="29">
        <v>4</v>
      </c>
      <c r="D9" s="154" t="s">
        <v>283</v>
      </c>
      <c r="E9" s="29" t="s">
        <v>284</v>
      </c>
      <c r="F9" s="29" t="s">
        <v>307</v>
      </c>
    </row>
    <row r="10" spans="3:10" ht="28.5" customHeight="1" thickBot="1">
      <c r="C10" s="29">
        <v>5</v>
      </c>
      <c r="D10" s="154" t="s">
        <v>285</v>
      </c>
      <c r="E10" s="29" t="s">
        <v>286</v>
      </c>
      <c r="F10" s="29" t="s">
        <v>287</v>
      </c>
    </row>
    <row r="11" spans="3:10" ht="27.75" customHeight="1" thickBot="1">
      <c r="C11" s="29">
        <v>6</v>
      </c>
      <c r="D11" s="154" t="s">
        <v>288</v>
      </c>
      <c r="E11" s="29" t="s">
        <v>289</v>
      </c>
      <c r="F11" s="29" t="s">
        <v>82</v>
      </c>
    </row>
    <row r="12" spans="3:10" ht="27.75" customHeight="1" thickBot="1">
      <c r="C12" s="29">
        <v>7</v>
      </c>
      <c r="D12" s="154" t="s">
        <v>290</v>
      </c>
      <c r="E12" s="29" t="s">
        <v>291</v>
      </c>
      <c r="F12" s="29" t="s">
        <v>82</v>
      </c>
    </row>
    <row r="13" spans="3:10" ht="30" customHeight="1" thickBot="1">
      <c r="C13" s="29">
        <v>8</v>
      </c>
      <c r="D13" s="154" t="s">
        <v>292</v>
      </c>
      <c r="E13" s="29" t="s">
        <v>293</v>
      </c>
      <c r="F13" s="29" t="s">
        <v>82</v>
      </c>
    </row>
    <row r="14" spans="3:10" ht="25.5" customHeight="1" thickBot="1">
      <c r="C14" s="29">
        <v>9</v>
      </c>
      <c r="D14" s="154" t="s">
        <v>294</v>
      </c>
      <c r="E14" s="29" t="s">
        <v>295</v>
      </c>
      <c r="F14" s="29" t="s">
        <v>82</v>
      </c>
    </row>
    <row r="15" spans="3:10" ht="25.5" customHeight="1" thickBot="1">
      <c r="C15" s="29">
        <v>10</v>
      </c>
      <c r="D15" s="154" t="s">
        <v>296</v>
      </c>
      <c r="E15" s="29" t="s">
        <v>297</v>
      </c>
      <c r="F15" s="29" t="s">
        <v>82</v>
      </c>
    </row>
    <row r="16" spans="3:10" ht="23.25" customHeight="1" thickBot="1">
      <c r="C16" s="29">
        <v>11</v>
      </c>
      <c r="D16" s="154" t="s">
        <v>298</v>
      </c>
      <c r="E16" s="29" t="s">
        <v>299</v>
      </c>
      <c r="F16" s="29" t="s">
        <v>82</v>
      </c>
    </row>
  </sheetData>
  <mergeCells count="2">
    <mergeCell ref="C3:F4"/>
    <mergeCell ref="I3:J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Test Case</vt:lpstr>
      <vt:lpstr>Bug Report</vt:lpstr>
      <vt:lpstr>Report</vt:lpstr>
      <vt:lpstr>Test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MHR</dc:creator>
  <cp:lastModifiedBy>Mehedi Hasan</cp:lastModifiedBy>
  <dcterms:created xsi:type="dcterms:W3CDTF">2015-06-05T18:17:20Z</dcterms:created>
  <dcterms:modified xsi:type="dcterms:W3CDTF">2026-01-03T13:32:44Z</dcterms:modified>
</cp:coreProperties>
</file>